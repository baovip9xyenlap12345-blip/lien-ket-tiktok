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ƯỚNG DẪN" sheetId="1" state="visible" r:id="rId3"/>
    <sheet name="Tháng 7" sheetId="2" state="visible" r:id="rId4"/>
    <sheet name="Tháng 8" sheetId="3" state="visible" r:id="rId5"/>
    <sheet name="Tháng 9" sheetId="4" state="visible" r:id="rId6"/>
    <sheet name="Tháng 10" sheetId="5" state="visible" r:id="rId7"/>
    <sheet name="Tháng 11" sheetId="6" state="visible" r:id="rId8"/>
    <sheet name="Tháng 12" sheetId="7" state="visible" r:id="rId9"/>
    <sheet name="BÁO CÁO NĂM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<sst xmlns="http://schemas.openxmlformats.org/spreadsheetml/2006/main" count="229" uniqueCount="124">
  <si>
    <t xml:space="preserve">HƯỚNG DẪN SỬ DỤNG FILE BÁO CÁO DOANH THU - THÔNG TIN ĐƠN HÀNG (THÁNG 7 - THÁNG 12/2026)</t>
  </si>
  <si>
    <t xml:space="preserve">1. CẤU TRÚC FILE</t>
  </si>
  <si>
    <t xml:space="preserve">   • 6 sheet 'Tháng 7' → 'Tháng 12': nhập đơn hàng của từng tháng, mỗi tháng 1 sheet riêng.</t>
  </si>
  <si>
    <t xml:space="preserve">   • Sheet 'BÁO CÁO NĂM': tự động tính doanh thu theo NGÀY - TUẦN - THÁNG - QUÝ - NĂM, không cần nhập gì thêm.</t>
  </si>
  <si>
    <t xml:space="preserve">2. CÁCH NHẬP LIỆU (trong các sheet tháng)</t>
  </si>
  <si>
    <t xml:space="preserve">   • Chỉ nhập vào các cột: NGÀY ĐẶT, TÊN KHÁCH HÀNG, CÔNG TY, MÃ SỐ THUẾ, SỐ ĐIỆN THOẠI, TÊN SẢN PHẨM, SỐ LƯỢNG, ĐƠN GIÁ, HÌNH ẢNH, TÌNH TRẠNG CHUYỂN KHOẢN, GHI CHÚ.</t>
  </si>
  <si>
    <t xml:space="preserve">   • Cột STT và THÀNH TIỀN tự tính, KHÔNG sửa (Thành tiền = Số lượng × Đơn giá).</t>
  </si>
  <si>
    <t xml:space="preserve">   • NGÀY ĐẶT nhập dạng dd/mm/yyyy (ví dụ 05/07/2026) — bắt buộc đúng định dạng thì báo cáo mới tính được.</t>
  </si>
  <si>
    <t xml:space="preserve">   • TÌNH TRẠNG CHUYỂN KHOẢN: bấm vào ô sẽ có danh sách chọn 'Đã chuyển khoản' / 'Chưa chuyển khoản' (ô tự đổi màu xanh/đỏ).</t>
  </si>
  <si>
    <t xml:space="preserve">   • Sheet 'Tháng 7' có sẵn 3 dòng VÍ DỤ MẪU (chữ màu xanh dương) — hãy xóa hoặc ghi đè bằng dữ liệu thật của bạn.</t>
  </si>
  <si>
    <t xml:space="preserve">3. CÁCH CHÈN HÌNH ẢNH SẢN PHẨM VÀO Ô</t>
  </si>
  <si>
    <t xml:space="preserve">   • Trên Google Sheets: bấm chọn ô ở cột HÌNH ẢNH SẢN PHẨM → menu Chèn (Insert) → Hình ảnh (Image) → 'Chèn hình ảnh trong ô' (Insert image in cell).</t>
  </si>
  <si>
    <t xml:space="preserve">   • Trên Excel: chọn ô → Insert → Pictures → Place in Cell.</t>
  </si>
  <si>
    <t xml:space="preserve">   • Hoặc dán công thức =IMAGE("link ảnh") nếu ảnh có đường link trên mạng (Google Sheets).</t>
  </si>
  <si>
    <t xml:space="preserve">4. BẢNG DOANH THU THEO NGÀY (bên phải mỗi sheet tháng)</t>
  </si>
  <si>
    <t xml:space="preserve">   • Cột O-P của mỗi sheet tháng tự cộng doanh thu của từng ngày trong tháng đó.</t>
  </si>
  <si>
    <t xml:space="preserve">5. SHEET 'BÁO CÁO NĂM'</t>
  </si>
  <si>
    <t xml:space="preserve">   • TRA CỨU THEO NGÀY: gõ 1 ngày bất kỳ vào ô màu VÀNG → ô bên cạnh hiện doanh thu của đúng ngày đó.</t>
  </si>
  <si>
    <t xml:space="preserve">   • DOANH THU THEO TUẦN: mỗi tuần (Thứ 2 → Chủ nhật) 1 dòng, tự cộng từ tất cả 6 sheet tháng.</t>
  </si>
  <si>
    <t xml:space="preserve">   • DOANH THU THEO THÁNG / QUÝ / NĂM: tự động lấy từ các sheet tháng, kèm tổng ĐÃ và CHƯA chuyển khoản.</t>
  </si>
  <si>
    <t xml:space="preserve">6. THÊM DÒNG KHI HẾT CHỖ</t>
  </si>
  <si>
    <t xml:space="preserve">   • Mỗi sheet tháng có sẵn 100 dòng (dòng 8 → 107) đã cài công thức.</t>
  </si>
  <si>
    <t xml:space="preserve">   • Muốn thêm: bôi đen 1 dòng GIỮA bảng (ví dụ dòng 50) → chuột phải → 'Chèn 1 hàng phía trên', rồi kéo công thức cột STT và THÀNH TIỀN từ dòng trên xuống. Mọi công thức báo cáo sẽ tự mở rộng theo.</t>
  </si>
  <si>
    <t xml:space="preserve">   • KHÔNG nhập dữ liệu xuống dưới dòng 107 (ngoài bảng) — báo cáo sẽ không cộng phần đó.</t>
  </si>
  <si>
    <t xml:space="preserve">7. QUY ƯỚC MÀU</t>
  </si>
  <si>
    <t xml:space="preserve">   • Chữ XANH DƯƠNG: dữ liệu ví dụ / ô người dùng nhập.  • Chữ ĐEN: công thức tự tính.  • Chữ XANH LÁ: số lấy từ sheet khác.  • Ô nền VÀNG: ô cần bạn nhập.</t>
  </si>
  <si>
    <t xml:space="preserve">BÁO CÁO DOANH THU THÁNG 7/2026</t>
  </si>
  <si>
    <t xml:space="preserve">TỔNG DOANH THU THÁNG (đ):</t>
  </si>
  <si>
    <t xml:space="preserve">ĐÃ CHUYỂN KHOẢN (đ):</t>
  </si>
  <si>
    <t xml:space="preserve">CHƯA CHUYỂN KHOẢN (đ):</t>
  </si>
  <si>
    <t xml:space="preserve">DOANH THU THEO NGÀY</t>
  </si>
  <si>
    <t xml:space="preserve">STT</t>
  </si>
  <si>
    <t xml:space="preserve">NGÀY ĐẶT</t>
  </si>
  <si>
    <t xml:space="preserve">TÊN KHÁCH HÀNG</t>
  </si>
  <si>
    <t xml:space="preserve">CÔNG TY</t>
  </si>
  <si>
    <t xml:space="preserve">MÃ SỐ THUẾ</t>
  </si>
  <si>
    <t xml:space="preserve">SỐ ĐIỆN THOẠI</t>
  </si>
  <si>
    <t xml:space="preserve">TÊN SẢN PHẨM</t>
  </si>
  <si>
    <t xml:space="preserve">SỐ LƯỢNG</t>
  </si>
  <si>
    <t xml:space="preserve">ĐƠN GIÁ (đ)</t>
  </si>
  <si>
    <t xml:space="preserve">THÀNH TIỀN (đ)</t>
  </si>
  <si>
    <t xml:space="preserve">HÌNH ẢNH SẢN PHẨM</t>
  </si>
  <si>
    <t xml:space="preserve">TÌNH TRẠNG CHUYỂN KHOẢN</t>
  </si>
  <si>
    <t xml:space="preserve">GHI CHÚ</t>
  </si>
  <si>
    <t xml:space="preserve">NGÀY</t>
  </si>
  <si>
    <t xml:space="preserve">DOANH THU (đ)</t>
  </si>
  <si>
    <t xml:space="preserve">Nguyễn Văn An</t>
  </si>
  <si>
    <t xml:space="preserve">Công ty TNHH Thương Mại ABC</t>
  </si>
  <si>
    <t xml:space="preserve">0312345678</t>
  </si>
  <si>
    <t xml:space="preserve">0901234567</t>
  </si>
  <si>
    <t xml:space="preserve">Bình giữ nhiệt in logo</t>
  </si>
  <si>
    <t xml:space="preserve">(chèn ảnh vào ô này)</t>
  </si>
  <si>
    <t xml:space="preserve">Đã chuyển khoản</t>
  </si>
  <si>
    <t xml:space="preserve">Giao đợt 1 (VÍ DỤ MẪU)</t>
  </si>
  <si>
    <t xml:space="preserve">Trần Thị Bích</t>
  </si>
  <si>
    <t xml:space="preserve">Công ty CP Đầu Tư XYZ</t>
  </si>
  <si>
    <t xml:space="preserve">0109876543</t>
  </si>
  <si>
    <t xml:space="preserve">0987654321</t>
  </si>
  <si>
    <t xml:space="preserve">Sổ tay da in logo</t>
  </si>
  <si>
    <t xml:space="preserve">Chưa chuyển khoản</t>
  </si>
  <si>
    <t xml:space="preserve">(VÍ DỤ MẪU)</t>
  </si>
  <si>
    <t xml:space="preserve">Lê Minh Cường</t>
  </si>
  <si>
    <t xml:space="preserve">Công ty TNHH DEF</t>
  </si>
  <si>
    <t xml:space="preserve">0301122334</t>
  </si>
  <si>
    <t xml:space="preserve">0912345678</t>
  </si>
  <si>
    <t xml:space="preserve">Bút ký khắc tên</t>
  </si>
  <si>
    <t xml:space="preserve">Khách quen (VÍ DỤ MẪU)</t>
  </si>
  <si>
    <t xml:space="preserve">CỘNG THÁNG</t>
  </si>
  <si>
    <t xml:space="preserve">BÁO CÁO DOANH THU THÁNG 8/2026</t>
  </si>
  <si>
    <t xml:space="preserve">BÁO CÁO DOANH THU THÁNG 9/2026</t>
  </si>
  <si>
    <t xml:space="preserve">BÁO CÁO DOANH THU THÁNG 10/2026</t>
  </si>
  <si>
    <t xml:space="preserve">BÁO CÁO DOANH THU THÁNG 11/2026</t>
  </si>
  <si>
    <t xml:space="preserve">BÁO CÁO DOANH THU THÁNG 12/2026</t>
  </si>
  <si>
    <t xml:space="preserve">BÁO CÁO TỔNG HỢP DOANH THU NĂM 2026 (THÁNG 7 → THÁNG 12)</t>
  </si>
  <si>
    <t xml:space="preserve">1. TRA CỨU DOANH THU THEO NGÀY</t>
  </si>
  <si>
    <t xml:space="preserve">Nhập ngày cần xem:</t>
  </si>
  <si>
    <t xml:space="preserve">→ Doanh thu ngày đó hiện ở ô D4</t>
  </si>
  <si>
    <t xml:space="preserve">2. DOANH THU THEO TUẦN (Thứ 2 → Chủ nhật)</t>
  </si>
  <si>
    <t xml:space="preserve">3. DOANH THU THEO THÁNG</t>
  </si>
  <si>
    <t xml:space="preserve">TUẦN</t>
  </si>
  <si>
    <t xml:space="preserve">TỪ NGÀY</t>
  </si>
  <si>
    <t xml:space="preserve">ĐẾN NGÀY</t>
  </si>
  <si>
    <t xml:space="preserve">THÁNG</t>
  </si>
  <si>
    <t xml:space="preserve">ĐÃ CK (đ)</t>
  </si>
  <si>
    <t xml:space="preserve">CHƯA CK (đ)</t>
  </si>
  <si>
    <t xml:space="preserve">Tuần 1</t>
  </si>
  <si>
    <t xml:space="preserve">Tháng 7/2026</t>
  </si>
  <si>
    <t xml:space="preserve">Tuần 2</t>
  </si>
  <si>
    <t xml:space="preserve">Tháng 8/2026</t>
  </si>
  <si>
    <t xml:space="preserve">Tuần 3</t>
  </si>
  <si>
    <t xml:space="preserve">Tháng 9/2026</t>
  </si>
  <si>
    <t xml:space="preserve">Tuần 4</t>
  </si>
  <si>
    <t xml:space="preserve">Tháng 10/2026</t>
  </si>
  <si>
    <t xml:space="preserve">Tuần 5</t>
  </si>
  <si>
    <t xml:space="preserve">Tháng 11/2026</t>
  </si>
  <si>
    <t xml:space="preserve">Tuần 6</t>
  </si>
  <si>
    <t xml:space="preserve">Tháng 12/2026</t>
  </si>
  <si>
    <t xml:space="preserve">Tuần 7</t>
  </si>
  <si>
    <t xml:space="preserve">Tuần 8</t>
  </si>
  <si>
    <t xml:space="preserve">4. DOANH THU THEO QUÝ</t>
  </si>
  <si>
    <t xml:space="preserve">Tuần 9</t>
  </si>
  <si>
    <t xml:space="preserve">Quý 3/2026 (T7-T9)</t>
  </si>
  <si>
    <t xml:space="preserve">Tuần 10</t>
  </si>
  <si>
    <t xml:space="preserve">Quý 4/2026 (T10-T12)</t>
  </si>
  <si>
    <t xml:space="preserve">Tuần 11</t>
  </si>
  <si>
    <t xml:space="preserve">Tuần 12</t>
  </si>
  <si>
    <t xml:space="preserve">5. DOANH THU CẢ NĂM 2026</t>
  </si>
  <si>
    <t xml:space="preserve">Tuần 13</t>
  </si>
  <si>
    <t xml:space="preserve">TỔNG NĂM 2026</t>
  </si>
  <si>
    <t xml:space="preserve">Tuần 14</t>
  </si>
  <si>
    <t xml:space="preserve">Tuần 15</t>
  </si>
  <si>
    <t xml:space="preserve">Ghi chú: file theo dõi từ Tháng 7 đến Tháng 12/2026 nên Tổng năm = Quý 3 + Quý 4. Các mốc ngày/tuần được tạo sẵn theo lịch 2026.</t>
  </si>
  <si>
    <t xml:space="preserve">Tuần 16</t>
  </si>
  <si>
    <t xml:space="preserve">Tuần 17</t>
  </si>
  <si>
    <t xml:space="preserve">Tuần 18</t>
  </si>
  <si>
    <t xml:space="preserve">Tuần 19</t>
  </si>
  <si>
    <t xml:space="preserve">Tuần 20</t>
  </si>
  <si>
    <t xml:space="preserve">Tuần 21</t>
  </si>
  <si>
    <t xml:space="preserve">Tuần 22</t>
  </si>
  <si>
    <t xml:space="preserve">Tuần 23</t>
  </si>
  <si>
    <t xml:space="preserve">Tuần 24</t>
  </si>
  <si>
    <t xml:space="preserve">Tuần 25</t>
  </si>
  <si>
    <t xml:space="preserve">Tuần 26</t>
  </si>
  <si>
    <t xml:space="preserve">Tuần 27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</si>
</sst>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#,##0"/>
    <numFmt numFmtId="168" formatCode="#,##0;\(#,##0\);\-"/>
    <numFmt numFmtId="169" formatCode="yyyy\-mm\-d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1F4E78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2E75B6"/>
        <bgColor rgb="FF0066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5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/>
    </row>
    <row r="8" customFormat="false" ht="15" hidden="false" customHeight="false" outlineLevel="0" collapsed="false">
      <c r="B8" s="2" t="s">
        <v>4</v>
      </c>
    </row>
    <row r="9" customFormat="false" ht="23.85" hidden="false" customHeight="false" outlineLevel="0" collapsed="false">
      <c r="B9" s="3" t="s">
        <v>5</v>
      </c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3"/>
    </row>
    <row r="15" customFormat="false" ht="15" hidden="false" customHeight="false" outlineLevel="0" collapsed="false">
      <c r="B15" s="2" t="s">
        <v>10</v>
      </c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3" t="s">
        <v>12</v>
      </c>
    </row>
    <row r="18" customFormat="false" ht="15" hidden="false" customHeight="false" outlineLevel="0" collapsed="false">
      <c r="B18" s="3" t="s">
        <v>13</v>
      </c>
    </row>
    <row r="19" customFormat="false" ht="15" hidden="false" customHeight="false" outlineLevel="0" collapsed="false">
      <c r="B19" s="3"/>
    </row>
    <row r="20" customFormat="false" ht="15" hidden="false" customHeight="false" outlineLevel="0" collapsed="false">
      <c r="B20" s="2" t="s">
        <v>14</v>
      </c>
    </row>
    <row r="21" customFormat="false" ht="15" hidden="false" customHeight="false" outlineLevel="0" collapsed="false">
      <c r="B21" s="3" t="s">
        <v>15</v>
      </c>
    </row>
    <row r="22" customFormat="false" ht="15" hidden="false" customHeight="false" outlineLevel="0" collapsed="false">
      <c r="B22" s="3"/>
    </row>
    <row r="23" customFormat="false" ht="15" hidden="false" customHeight="false" outlineLevel="0" collapsed="false">
      <c r="B23" s="2" t="s">
        <v>16</v>
      </c>
    </row>
    <row r="24" customFormat="false" ht="15" hidden="false" customHeight="false" outlineLevel="0" collapsed="false">
      <c r="B24" s="3" t="s">
        <v>17</v>
      </c>
    </row>
    <row r="25" customFormat="false" ht="15" hidden="false" customHeight="false" outlineLevel="0" collapsed="false">
      <c r="B25" s="3" t="s">
        <v>18</v>
      </c>
    </row>
    <row r="26" customFormat="false" ht="15" hidden="false" customHeight="false" outlineLevel="0" collapsed="false">
      <c r="B26" s="3" t="s">
        <v>19</v>
      </c>
    </row>
    <row r="27" customFormat="false" ht="15" hidden="false" customHeight="false" outlineLevel="0" collapsed="false">
      <c r="B27" s="3"/>
    </row>
    <row r="28" customFormat="false" ht="15" hidden="false" customHeight="false" outlineLevel="0" collapsed="false">
      <c r="B28" s="2" t="s">
        <v>20</v>
      </c>
    </row>
    <row r="29" customFormat="false" ht="15" hidden="false" customHeight="false" outlineLevel="0" collapsed="false">
      <c r="B29" s="3" t="s">
        <v>21</v>
      </c>
    </row>
    <row r="30" customFormat="false" ht="23.85" hidden="false" customHeight="false" outlineLevel="0" collapsed="false">
      <c r="B30" s="3" t="s">
        <v>22</v>
      </c>
    </row>
    <row r="31" customFormat="false" ht="15" hidden="false" customHeight="false" outlineLevel="0" collapsed="false">
      <c r="B31" s="3" t="s">
        <v>23</v>
      </c>
    </row>
    <row r="32" customFormat="false" ht="15" hidden="false" customHeight="false" outlineLevel="0" collapsed="false">
      <c r="B32" s="3"/>
    </row>
    <row r="33" customFormat="false" ht="15" hidden="false" customHeight="false" outlineLevel="0" collapsed="false">
      <c r="B33" s="2" t="s">
        <v>24</v>
      </c>
    </row>
    <row r="34" customFormat="false" ht="15" hidden="false" customHeight="false" outlineLevel="0" collapsed="false">
      <c r="B34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4" width="5"/>
    <col collapsed="false" customWidth="true" hidden="false" outlineLevel="0" max="2" min="2" style="5" width="12"/>
    <col collapsed="false" customWidth="true" hidden="false" outlineLevel="0" max="3" min="3" style="6" width="20"/>
    <col collapsed="false" customWidth="true" hidden="false" outlineLevel="0" max="4" min="4" style="6" width="26"/>
    <col collapsed="false" customWidth="true" hidden="false" outlineLevel="0" max="6" min="5" style="7" width="14"/>
    <col collapsed="false" customWidth="true" hidden="false" outlineLevel="0" max="7" min="7" style="6" width="24"/>
    <col collapsed="false" customWidth="true" hidden="false" outlineLevel="0" max="8" min="8" style="8" width="10"/>
    <col collapsed="false" customWidth="true" hidden="false" outlineLevel="0" max="9" min="9" style="9" width="12"/>
    <col collapsed="false" customWidth="true" hidden="false" outlineLevel="0" max="10" min="10" style="9" width="14"/>
    <col collapsed="false" customWidth="true" hidden="false" outlineLevel="0" max="11" min="11" style="4" width="18"/>
    <col collapsed="false" customWidth="true" hidden="false" outlineLevel="0" max="12" min="12" style="4" width="20"/>
    <col collapsed="false" customWidth="true" hidden="false" outlineLevel="0" max="13" min="13" style="6" width="18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25.5" hidden="false" customHeight="true" outlineLevel="0" collapsed="false">
      <c r="A1" s="10" t="s">
        <v>26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customFormat="false" ht="15" hidden="false" customHeight="true" outlineLevel="0" collapsed="false">
      <c r="B3" s="11" t="s">
        <v>27</v>
      </c>
      <c r="C3" s="11"/>
      <c r="D3" s="12" t="n">
        <f aca="false">SUM($J$8:$J$107)</f>
        <v>21500000</v>
      </c>
    </row>
    <row r="4" customFormat="false" ht="15" hidden="false" customHeight="true" outlineLevel="0" collapsed="false">
      <c r="B4" s="11" t="s">
        <v>28</v>
      </c>
      <c r="C4" s="11"/>
      <c r="D4" s="12" t="n">
        <f aca="false">SUMIF($L$8:$L$107,"Đã chuyển khoản",$J$8:$J$107)</f>
        <v>15500000</v>
      </c>
    </row>
    <row r="5" customFormat="false" ht="15" hidden="false" customHeight="true" outlineLevel="0" collapsed="false">
      <c r="B5" s="11" t="s">
        <v>29</v>
      </c>
      <c r="C5" s="11"/>
      <c r="D5" s="12" t="n">
        <f aca="false">SUMIF($L$8:$L$107,"Chưa chuyển khoản",$J$8:$J$107)</f>
        <v>6000000</v>
      </c>
    </row>
    <row r="6" customFormat="false" ht="15" hidden="false" customHeight="true" outlineLevel="0" collapsed="false">
      <c r="O6" s="13" t="s">
        <v>30</v>
      </c>
      <c r="P6" s="13"/>
    </row>
    <row r="7" customFormat="false" ht="30" hidden="false" customHeight="true" outlineLevel="0" collapsed="false">
      <c r="A7" s="14" t="s">
        <v>31</v>
      </c>
      <c r="B7" s="14" t="s">
        <v>32</v>
      </c>
      <c r="C7" s="14" t="s">
        <v>33</v>
      </c>
      <c r="D7" s="14" t="s">
        <v>34</v>
      </c>
      <c r="E7" s="14" t="s">
        <v>35</v>
      </c>
      <c r="F7" s="14" t="s">
        <v>36</v>
      </c>
      <c r="G7" s="14" t="s">
        <v>37</v>
      </c>
      <c r="H7" s="14" t="s">
        <v>38</v>
      </c>
      <c r="I7" s="14" t="s">
        <v>39</v>
      </c>
      <c r="J7" s="14" t="s">
        <v>40</v>
      </c>
      <c r="K7" s="14" t="s">
        <v>41</v>
      </c>
      <c r="L7" s="14" t="s">
        <v>42</v>
      </c>
      <c r="M7" s="14" t="s">
        <v>43</v>
      </c>
      <c r="O7" s="14" t="s">
        <v>44</v>
      </c>
      <c r="P7" s="14" t="s">
        <v>45</v>
      </c>
    </row>
    <row r="8" customFormat="false" ht="15" hidden="false" customHeight="false" outlineLevel="0" collapsed="false">
      <c r="A8" s="4" t="n">
        <f aca="false">IF($B8="","",ROW()-7)</f>
        <v>1</v>
      </c>
      <c r="B8" s="15" t="n">
        <v>46206</v>
      </c>
      <c r="C8" s="16" t="s">
        <v>46</v>
      </c>
      <c r="D8" s="16" t="s">
        <v>47</v>
      </c>
      <c r="E8" s="16" t="s">
        <v>48</v>
      </c>
      <c r="F8" s="16" t="s">
        <v>49</v>
      </c>
      <c r="G8" s="16" t="s">
        <v>50</v>
      </c>
      <c r="H8" s="16" t="n">
        <v>100</v>
      </c>
      <c r="I8" s="16" t="n">
        <v>85000</v>
      </c>
      <c r="J8" s="9" t="n">
        <f aca="false">IF($H8="","",$H8*$I8)</f>
        <v>8500000</v>
      </c>
      <c r="K8" s="17" t="s">
        <v>51</v>
      </c>
      <c r="L8" s="16" t="s">
        <v>52</v>
      </c>
      <c r="M8" s="16" t="s">
        <v>53</v>
      </c>
      <c r="O8" s="18" t="n">
        <v>46204</v>
      </c>
      <c r="P8" s="19" t="n">
        <f aca="false">SUMIF($B$8:$B$107,$O8,$J$8:$J$107)</f>
        <v>0</v>
      </c>
    </row>
    <row r="9" customFormat="false" ht="15" hidden="false" customHeight="false" outlineLevel="0" collapsed="false">
      <c r="A9" s="4" t="n">
        <f aca="false">IF($B9="","",ROW()-7)</f>
        <v>2</v>
      </c>
      <c r="B9" s="15" t="n">
        <v>46213</v>
      </c>
      <c r="C9" s="16" t="s">
        <v>54</v>
      </c>
      <c r="D9" s="16" t="s">
        <v>55</v>
      </c>
      <c r="E9" s="16" t="s">
        <v>56</v>
      </c>
      <c r="F9" s="16" t="s">
        <v>57</v>
      </c>
      <c r="G9" s="16" t="s">
        <v>58</v>
      </c>
      <c r="H9" s="16" t="n">
        <v>50</v>
      </c>
      <c r="I9" s="16" t="n">
        <v>120000</v>
      </c>
      <c r="J9" s="9" t="n">
        <f aca="false">IF($H9="","",$H9*$I9)</f>
        <v>6000000</v>
      </c>
      <c r="K9" s="17" t="s">
        <v>51</v>
      </c>
      <c r="L9" s="16" t="s">
        <v>59</v>
      </c>
      <c r="M9" s="16" t="s">
        <v>60</v>
      </c>
      <c r="O9" s="18" t="n">
        <v>46205</v>
      </c>
      <c r="P9" s="19" t="n">
        <f aca="false">SUMIF($B$8:$B$107,$O9,$J$8:$J$107)</f>
        <v>0</v>
      </c>
    </row>
    <row r="10" customFormat="false" ht="15" hidden="false" customHeight="false" outlineLevel="0" collapsed="false">
      <c r="A10" s="4" t="n">
        <f aca="false">IF($B10="","",ROW()-7)</f>
        <v>3</v>
      </c>
      <c r="B10" s="15" t="n">
        <v>46218</v>
      </c>
      <c r="C10" s="16" t="s">
        <v>61</v>
      </c>
      <c r="D10" s="16" t="s">
        <v>62</v>
      </c>
      <c r="E10" s="16" t="s">
        <v>63</v>
      </c>
      <c r="F10" s="16" t="s">
        <v>64</v>
      </c>
      <c r="G10" s="16" t="s">
        <v>65</v>
      </c>
      <c r="H10" s="16" t="n">
        <v>200</v>
      </c>
      <c r="I10" s="16" t="n">
        <v>35000</v>
      </c>
      <c r="J10" s="9" t="n">
        <f aca="false">IF($H10="","",$H10*$I10)</f>
        <v>7000000</v>
      </c>
      <c r="K10" s="17" t="s">
        <v>51</v>
      </c>
      <c r="L10" s="16" t="s">
        <v>52</v>
      </c>
      <c r="M10" s="16" t="s">
        <v>66</v>
      </c>
      <c r="O10" s="18" t="n">
        <v>46206</v>
      </c>
      <c r="P10" s="19" t="n">
        <f aca="false">SUMIF($B$8:$B$107,$O10,$J$8:$J$107)</f>
        <v>8500000</v>
      </c>
    </row>
    <row r="11" customFormat="false" ht="15" hidden="false" customHeight="false" outlineLevel="0" collapsed="false">
      <c r="A11" s="4" t="str">
        <f aca="false">IF($B11="","",ROW()-7)</f>
        <v/>
      </c>
      <c r="J11" s="9" t="str">
        <f aca="false">IF($H11="","",$H11*$I11)</f>
        <v/>
      </c>
      <c r="O11" s="18" t="n">
        <v>46207</v>
      </c>
      <c r="P11" s="19" t="n">
        <f aca="false">SUMIF($B$8:$B$107,$O11,$J$8:$J$107)</f>
        <v>0</v>
      </c>
    </row>
    <row r="12" customFormat="false" ht="15" hidden="false" customHeight="false" outlineLevel="0" collapsed="false">
      <c r="A12" s="4" t="str">
        <f aca="false">IF($B12="","",ROW()-7)</f>
        <v/>
      </c>
      <c r="J12" s="9" t="str">
        <f aca="false">IF($H12="","",$H12*$I12)</f>
        <v/>
      </c>
      <c r="O12" s="18" t="n">
        <v>46208</v>
      </c>
      <c r="P12" s="19" t="n">
        <f aca="false">SUMIF($B$8:$B$107,$O12,$J$8:$J$107)</f>
        <v>0</v>
      </c>
    </row>
    <row r="13" customFormat="false" ht="15" hidden="false" customHeight="false" outlineLevel="0" collapsed="false">
      <c r="A13" s="4" t="str">
        <f aca="false">IF($B13="","",ROW()-7)</f>
        <v/>
      </c>
      <c r="J13" s="9" t="str">
        <f aca="false">IF($H13="","",$H13*$I13)</f>
        <v/>
      </c>
      <c r="O13" s="18" t="n">
        <v>46209</v>
      </c>
      <c r="P13" s="19" t="n">
        <f aca="false">SUMIF($B$8:$B$107,$O13,$J$8:$J$107)</f>
        <v>0</v>
      </c>
    </row>
    <row r="14" customFormat="false" ht="15" hidden="false" customHeight="false" outlineLevel="0" collapsed="false">
      <c r="A14" s="4" t="str">
        <f aca="false">IF($B14="","",ROW()-7)</f>
        <v/>
      </c>
      <c r="J14" s="9" t="str">
        <f aca="false">IF($H14="","",$H14*$I14)</f>
        <v/>
      </c>
      <c r="O14" s="18" t="n">
        <v>46210</v>
      </c>
      <c r="P14" s="19" t="n">
        <f aca="false">SUMIF($B$8:$B$107,$O14,$J$8:$J$107)</f>
        <v>0</v>
      </c>
    </row>
    <row r="15" customFormat="false" ht="15" hidden="false" customHeight="false" outlineLevel="0" collapsed="false">
      <c r="A15" s="4" t="str">
        <f aca="false">IF($B15="","",ROW()-7)</f>
        <v/>
      </c>
      <c r="J15" s="9" t="str">
        <f aca="false">IF($H15="","",$H15*$I15)</f>
        <v/>
      </c>
      <c r="O15" s="18" t="n">
        <v>46211</v>
      </c>
      <c r="P15" s="19" t="n">
        <f aca="false">SUMIF($B$8:$B$107,$O15,$J$8:$J$107)</f>
        <v>0</v>
      </c>
    </row>
    <row r="16" customFormat="false" ht="15" hidden="false" customHeight="false" outlineLevel="0" collapsed="false">
      <c r="A16" s="4" t="str">
        <f aca="false">IF($B16="","",ROW()-7)</f>
        <v/>
      </c>
      <c r="J16" s="9" t="str">
        <f aca="false">IF($H16="","",$H16*$I16)</f>
        <v/>
      </c>
      <c r="O16" s="18" t="n">
        <v>46212</v>
      </c>
      <c r="P16" s="19" t="n">
        <f aca="false">SUMIF($B$8:$B$107,$O16,$J$8:$J$107)</f>
        <v>0</v>
      </c>
    </row>
    <row r="17" customFormat="false" ht="15" hidden="false" customHeight="false" outlineLevel="0" collapsed="false">
      <c r="A17" s="4" t="str">
        <f aca="false">IF($B17="","",ROW()-7)</f>
        <v/>
      </c>
      <c r="J17" s="9" t="str">
        <f aca="false">IF($H17="","",$H17*$I17)</f>
        <v/>
      </c>
      <c r="O17" s="18" t="n">
        <v>46213</v>
      </c>
      <c r="P17" s="19" t="n">
        <f aca="false">SUMIF($B$8:$B$107,$O17,$J$8:$J$107)</f>
        <v>6000000</v>
      </c>
    </row>
    <row r="18" customFormat="false" ht="15" hidden="false" customHeight="false" outlineLevel="0" collapsed="false">
      <c r="A18" s="4" t="str">
        <f aca="false">IF($B18="","",ROW()-7)</f>
        <v/>
      </c>
      <c r="J18" s="9" t="str">
        <f aca="false">IF($H18="","",$H18*$I18)</f>
        <v/>
      </c>
      <c r="O18" s="18" t="n">
        <v>46214</v>
      </c>
      <c r="P18" s="19" t="n">
        <f aca="false">SUMIF($B$8:$B$107,$O18,$J$8:$J$107)</f>
        <v>0</v>
      </c>
    </row>
    <row r="19" customFormat="false" ht="15" hidden="false" customHeight="false" outlineLevel="0" collapsed="false">
      <c r="A19" s="4" t="str">
        <f aca="false">IF($B19="","",ROW()-7)</f>
        <v/>
      </c>
      <c r="J19" s="9" t="str">
        <f aca="false">IF($H19="","",$H19*$I19)</f>
        <v/>
      </c>
      <c r="O19" s="18" t="n">
        <v>46215</v>
      </c>
      <c r="P19" s="19" t="n">
        <f aca="false">SUMIF($B$8:$B$107,$O19,$J$8:$J$107)</f>
        <v>0</v>
      </c>
    </row>
    <row r="20" customFormat="false" ht="15" hidden="false" customHeight="false" outlineLevel="0" collapsed="false">
      <c r="A20" s="4" t="str">
        <f aca="false">IF($B20="","",ROW()-7)</f>
        <v/>
      </c>
      <c r="J20" s="9" t="str">
        <f aca="false">IF($H20="","",$H20*$I20)</f>
        <v/>
      </c>
      <c r="O20" s="18" t="n">
        <v>46216</v>
      </c>
      <c r="P20" s="19" t="n">
        <f aca="false">SUMIF($B$8:$B$107,$O20,$J$8:$J$107)</f>
        <v>0</v>
      </c>
    </row>
    <row r="21" customFormat="false" ht="15" hidden="false" customHeight="false" outlineLevel="0" collapsed="false">
      <c r="A21" s="4" t="str">
        <f aca="false">IF($B21="","",ROW()-7)</f>
        <v/>
      </c>
      <c r="J21" s="9" t="str">
        <f aca="false">IF($H21="","",$H21*$I21)</f>
        <v/>
      </c>
      <c r="O21" s="18" t="n">
        <v>46217</v>
      </c>
      <c r="P21" s="19" t="n">
        <f aca="false">SUMIF($B$8:$B$107,$O21,$J$8:$J$107)</f>
        <v>0</v>
      </c>
    </row>
    <row r="22" customFormat="false" ht="15" hidden="false" customHeight="false" outlineLevel="0" collapsed="false">
      <c r="A22" s="4" t="str">
        <f aca="false">IF($B22="","",ROW()-7)</f>
        <v/>
      </c>
      <c r="J22" s="9" t="str">
        <f aca="false">IF($H22="","",$H22*$I22)</f>
        <v/>
      </c>
      <c r="O22" s="18" t="n">
        <v>46218</v>
      </c>
      <c r="P22" s="19" t="n">
        <f aca="false">SUMIF($B$8:$B$107,$O22,$J$8:$J$107)</f>
        <v>7000000</v>
      </c>
    </row>
    <row r="23" customFormat="false" ht="15" hidden="false" customHeight="false" outlineLevel="0" collapsed="false">
      <c r="A23" s="4" t="str">
        <f aca="false">IF($B23="","",ROW()-7)</f>
        <v/>
      </c>
      <c r="J23" s="9" t="str">
        <f aca="false">IF($H23="","",$H23*$I23)</f>
        <v/>
      </c>
      <c r="O23" s="18" t="n">
        <v>46219</v>
      </c>
      <c r="P23" s="19" t="n">
        <f aca="false">SUMIF($B$8:$B$107,$O23,$J$8:$J$107)</f>
        <v>0</v>
      </c>
    </row>
    <row r="24" customFormat="false" ht="15" hidden="false" customHeight="false" outlineLevel="0" collapsed="false">
      <c r="A24" s="4" t="str">
        <f aca="false">IF($B24="","",ROW()-7)</f>
        <v/>
      </c>
      <c r="J24" s="9" t="str">
        <f aca="false">IF($H24="","",$H24*$I24)</f>
        <v/>
      </c>
      <c r="O24" s="18" t="n">
        <v>46220</v>
      </c>
      <c r="P24" s="19" t="n">
        <f aca="false">SUMIF($B$8:$B$107,$O24,$J$8:$J$107)</f>
        <v>0</v>
      </c>
    </row>
    <row r="25" customFormat="false" ht="15" hidden="false" customHeight="false" outlineLevel="0" collapsed="false">
      <c r="A25" s="4" t="str">
        <f aca="false">IF($B25="","",ROW()-7)</f>
        <v/>
      </c>
      <c r="J25" s="9" t="str">
        <f aca="false">IF($H25="","",$H25*$I25)</f>
        <v/>
      </c>
      <c r="O25" s="18" t="n">
        <v>46221</v>
      </c>
      <c r="P25" s="19" t="n">
        <f aca="false">SUMIF($B$8:$B$107,$O25,$J$8:$J$107)</f>
        <v>0</v>
      </c>
    </row>
    <row r="26" customFormat="false" ht="15" hidden="false" customHeight="false" outlineLevel="0" collapsed="false">
      <c r="A26" s="4" t="str">
        <f aca="false">IF($B26="","",ROW()-7)</f>
        <v/>
      </c>
      <c r="J26" s="9" t="str">
        <f aca="false">IF($H26="","",$H26*$I26)</f>
        <v/>
      </c>
      <c r="O26" s="18" t="n">
        <v>46222</v>
      </c>
      <c r="P26" s="19" t="n">
        <f aca="false">SUMIF($B$8:$B$107,$O26,$J$8:$J$107)</f>
        <v>0</v>
      </c>
    </row>
    <row r="27" customFormat="false" ht="15" hidden="false" customHeight="false" outlineLevel="0" collapsed="false">
      <c r="A27" s="4" t="str">
        <f aca="false">IF($B27="","",ROW()-7)</f>
        <v/>
      </c>
      <c r="J27" s="9" t="str">
        <f aca="false">IF($H27="","",$H27*$I27)</f>
        <v/>
      </c>
      <c r="O27" s="18" t="n">
        <v>46223</v>
      </c>
      <c r="P27" s="19" t="n">
        <f aca="false">SUMIF($B$8:$B$107,$O27,$J$8:$J$107)</f>
        <v>0</v>
      </c>
    </row>
    <row r="28" customFormat="false" ht="15" hidden="false" customHeight="false" outlineLevel="0" collapsed="false">
      <c r="A28" s="4" t="str">
        <f aca="false">IF($B28="","",ROW()-7)</f>
        <v/>
      </c>
      <c r="J28" s="9" t="str">
        <f aca="false">IF($H28="","",$H28*$I28)</f>
        <v/>
      </c>
      <c r="O28" s="18" t="n">
        <v>46224</v>
      </c>
      <c r="P28" s="19" t="n">
        <f aca="false">SUMIF($B$8:$B$107,$O28,$J$8:$J$107)</f>
        <v>0</v>
      </c>
    </row>
    <row r="29" customFormat="false" ht="15" hidden="false" customHeight="false" outlineLevel="0" collapsed="false">
      <c r="A29" s="4" t="str">
        <f aca="false">IF($B29="","",ROW()-7)</f>
        <v/>
      </c>
      <c r="J29" s="9" t="str">
        <f aca="false">IF($H29="","",$H29*$I29)</f>
        <v/>
      </c>
      <c r="O29" s="18" t="n">
        <v>46225</v>
      </c>
      <c r="P29" s="19" t="n">
        <f aca="false">SUMIF($B$8:$B$107,$O29,$J$8:$J$107)</f>
        <v>0</v>
      </c>
    </row>
    <row r="30" customFormat="false" ht="15" hidden="false" customHeight="false" outlineLevel="0" collapsed="false">
      <c r="A30" s="4" t="str">
        <f aca="false">IF($B30="","",ROW()-7)</f>
        <v/>
      </c>
      <c r="J30" s="9" t="str">
        <f aca="false">IF($H30="","",$H30*$I30)</f>
        <v/>
      </c>
      <c r="O30" s="18" t="n">
        <v>46226</v>
      </c>
      <c r="P30" s="19" t="n">
        <f aca="false">SUMIF($B$8:$B$107,$O30,$J$8:$J$107)</f>
        <v>0</v>
      </c>
    </row>
    <row r="31" customFormat="false" ht="15" hidden="false" customHeight="false" outlineLevel="0" collapsed="false">
      <c r="A31" s="4" t="str">
        <f aca="false">IF($B31="","",ROW()-7)</f>
        <v/>
      </c>
      <c r="J31" s="9" t="str">
        <f aca="false">IF($H31="","",$H31*$I31)</f>
        <v/>
      </c>
      <c r="O31" s="18" t="n">
        <v>46227</v>
      </c>
      <c r="P31" s="19" t="n">
        <f aca="false">SUMIF($B$8:$B$107,$O31,$J$8:$J$107)</f>
        <v>0</v>
      </c>
    </row>
    <row r="32" customFormat="false" ht="15" hidden="false" customHeight="false" outlineLevel="0" collapsed="false">
      <c r="A32" s="4" t="str">
        <f aca="false">IF($B32="","",ROW()-7)</f>
        <v/>
      </c>
      <c r="J32" s="9" t="str">
        <f aca="false">IF($H32="","",$H32*$I32)</f>
        <v/>
      </c>
      <c r="O32" s="18" t="n">
        <v>46228</v>
      </c>
      <c r="P32" s="19" t="n">
        <f aca="false">SUMIF($B$8:$B$107,$O32,$J$8:$J$107)</f>
        <v>0</v>
      </c>
    </row>
    <row r="33" customFormat="false" ht="15" hidden="false" customHeight="false" outlineLevel="0" collapsed="false">
      <c r="A33" s="4" t="str">
        <f aca="false">IF($B33="","",ROW()-7)</f>
        <v/>
      </c>
      <c r="J33" s="9" t="str">
        <f aca="false">IF($H33="","",$H33*$I33)</f>
        <v/>
      </c>
      <c r="O33" s="18" t="n">
        <v>46229</v>
      </c>
      <c r="P33" s="19" t="n">
        <f aca="false">SUMIF($B$8:$B$107,$O33,$J$8:$J$107)</f>
        <v>0</v>
      </c>
    </row>
    <row r="34" customFormat="false" ht="15" hidden="false" customHeight="false" outlineLevel="0" collapsed="false">
      <c r="A34" s="4" t="str">
        <f aca="false">IF($B34="","",ROW()-7)</f>
        <v/>
      </c>
      <c r="J34" s="9" t="str">
        <f aca="false">IF($H34="","",$H34*$I34)</f>
        <v/>
      </c>
      <c r="O34" s="18" t="n">
        <v>46230</v>
      </c>
      <c r="P34" s="19" t="n">
        <f aca="false">SUMIF($B$8:$B$107,$O34,$J$8:$J$107)</f>
        <v>0</v>
      </c>
    </row>
    <row r="35" customFormat="false" ht="15" hidden="false" customHeight="false" outlineLevel="0" collapsed="false">
      <c r="A35" s="4" t="str">
        <f aca="false">IF($B35="","",ROW()-7)</f>
        <v/>
      </c>
      <c r="J35" s="9" t="str">
        <f aca="false">IF($H35="","",$H35*$I35)</f>
        <v/>
      </c>
      <c r="O35" s="18" t="n">
        <v>46231</v>
      </c>
      <c r="P35" s="19" t="n">
        <f aca="false">SUMIF($B$8:$B$107,$O35,$J$8:$J$107)</f>
        <v>0</v>
      </c>
    </row>
    <row r="36" customFormat="false" ht="15" hidden="false" customHeight="false" outlineLevel="0" collapsed="false">
      <c r="A36" s="4" t="str">
        <f aca="false">IF($B36="","",ROW()-7)</f>
        <v/>
      </c>
      <c r="J36" s="9" t="str">
        <f aca="false">IF($H36="","",$H36*$I36)</f>
        <v/>
      </c>
      <c r="O36" s="18" t="n">
        <v>46232</v>
      </c>
      <c r="P36" s="19" t="n">
        <f aca="false">SUMIF($B$8:$B$107,$O36,$J$8:$J$107)</f>
        <v>0</v>
      </c>
    </row>
    <row r="37" customFormat="false" ht="15" hidden="false" customHeight="false" outlineLevel="0" collapsed="false">
      <c r="A37" s="4" t="str">
        <f aca="false">IF($B37="","",ROW()-7)</f>
        <v/>
      </c>
      <c r="J37" s="9" t="str">
        <f aca="false">IF($H37="","",$H37*$I37)</f>
        <v/>
      </c>
      <c r="O37" s="18" t="n">
        <v>46233</v>
      </c>
      <c r="P37" s="19" t="n">
        <f aca="false">SUMIF($B$8:$B$107,$O37,$J$8:$J$107)</f>
        <v>0</v>
      </c>
    </row>
    <row r="38" customFormat="false" ht="15" hidden="false" customHeight="false" outlineLevel="0" collapsed="false">
      <c r="A38" s="4" t="str">
        <f aca="false">IF($B38="","",ROW()-7)</f>
        <v/>
      </c>
      <c r="J38" s="9" t="str">
        <f aca="false">IF($H38="","",$H38*$I38)</f>
        <v/>
      </c>
      <c r="O38" s="18" t="n">
        <v>46234</v>
      </c>
      <c r="P38" s="19" t="n">
        <f aca="false">SUMIF($B$8:$B$107,$O38,$J$8:$J$107)</f>
        <v>0</v>
      </c>
    </row>
    <row r="39" customFormat="false" ht="15" hidden="false" customHeight="false" outlineLevel="0" collapsed="false">
      <c r="A39" s="4" t="str">
        <f aca="false">IF($B39="","",ROW()-7)</f>
        <v/>
      </c>
      <c r="J39" s="9" t="str">
        <f aca="false">IF($H39="","",$H39*$I39)</f>
        <v/>
      </c>
      <c r="O39" s="20" t="s">
        <v>67</v>
      </c>
      <c r="P39" s="21" t="n">
        <f aca="false">SUM($P$8:$P$38)</f>
        <v>21500000</v>
      </c>
    </row>
    <row r="40" customFormat="false" ht="15" hidden="false" customHeight="false" outlineLevel="0" collapsed="false">
      <c r="A40" s="4" t="str">
        <f aca="false">IF($B40="","",ROW()-7)</f>
        <v/>
      </c>
      <c r="J40" s="9" t="str">
        <f aca="false">IF($H40="","",$H40*$I40)</f>
        <v/>
      </c>
    </row>
    <row r="41" customFormat="false" ht="15" hidden="false" customHeight="false" outlineLevel="0" collapsed="false">
      <c r="A41" s="4" t="str">
        <f aca="false">IF($B41="","",ROW()-7)</f>
        <v/>
      </c>
      <c r="J41" s="9" t="str">
        <f aca="false">IF($H41="","",$H41*$I41)</f>
        <v/>
      </c>
    </row>
    <row r="42" customFormat="false" ht="15" hidden="false" customHeight="false" outlineLevel="0" collapsed="false">
      <c r="A42" s="4" t="str">
        <f aca="false">IF($B42="","",ROW()-7)</f>
        <v/>
      </c>
      <c r="J42" s="9" t="str">
        <f aca="false">IF($H42="","",$H42*$I42)</f>
        <v/>
      </c>
    </row>
    <row r="43" customFormat="false" ht="15" hidden="false" customHeight="false" outlineLevel="0" collapsed="false">
      <c r="A43" s="4" t="str">
        <f aca="false">IF($B43="","",ROW()-7)</f>
        <v/>
      </c>
      <c r="J43" s="9" t="str">
        <f aca="false">IF($H43="","",$H43*$I43)</f>
        <v/>
      </c>
    </row>
    <row r="44" customFormat="false" ht="15" hidden="false" customHeight="false" outlineLevel="0" collapsed="false">
      <c r="A44" s="4" t="str">
        <f aca="false">IF($B44="","",ROW()-7)</f>
        <v/>
      </c>
      <c r="J44" s="9" t="str">
        <f aca="false">IF($H44="","",$H44*$I44)</f>
        <v/>
      </c>
    </row>
    <row r="45" customFormat="false" ht="15" hidden="false" customHeight="false" outlineLevel="0" collapsed="false">
      <c r="A45" s="4" t="str">
        <f aca="false">IF($B45="","",ROW()-7)</f>
        <v/>
      </c>
      <c r="J45" s="9" t="str">
        <f aca="false">IF($H45="","",$H45*$I45)</f>
        <v/>
      </c>
    </row>
    <row r="46" customFormat="false" ht="15" hidden="false" customHeight="false" outlineLevel="0" collapsed="false">
      <c r="A46" s="4" t="str">
        <f aca="false">IF($B46="","",ROW()-7)</f>
        <v/>
      </c>
      <c r="J46" s="9" t="str">
        <f aca="false">IF($H46="","",$H46*$I46)</f>
        <v/>
      </c>
    </row>
    <row r="47" customFormat="false" ht="15" hidden="false" customHeight="false" outlineLevel="0" collapsed="false">
      <c r="A47" s="4" t="str">
        <f aca="false">IF($B47="","",ROW()-7)</f>
        <v/>
      </c>
      <c r="J47" s="9" t="str">
        <f aca="false">IF($H47="","",$H47*$I47)</f>
        <v/>
      </c>
    </row>
    <row r="48" customFormat="false" ht="15" hidden="false" customHeight="false" outlineLevel="0" collapsed="false">
      <c r="A48" s="4" t="str">
        <f aca="false">IF($B48="","",ROW()-7)</f>
        <v/>
      </c>
      <c r="J48" s="9" t="str">
        <f aca="false">IF($H48="","",$H48*$I48)</f>
        <v/>
      </c>
    </row>
    <row r="49" customFormat="false" ht="15" hidden="false" customHeight="false" outlineLevel="0" collapsed="false">
      <c r="A49" s="4" t="str">
        <f aca="false">IF($B49="","",ROW()-7)</f>
        <v/>
      </c>
      <c r="J49" s="9" t="str">
        <f aca="false">IF($H49="","",$H49*$I49)</f>
        <v/>
      </c>
    </row>
    <row r="50" customFormat="false" ht="15" hidden="false" customHeight="false" outlineLevel="0" collapsed="false">
      <c r="A50" s="4" t="str">
        <f aca="false">IF($B50="","",ROW()-7)</f>
        <v/>
      </c>
      <c r="J50" s="9" t="str">
        <f aca="false">IF($H50="","",$H50*$I50)</f>
        <v/>
      </c>
    </row>
    <row r="51" customFormat="false" ht="15" hidden="false" customHeight="false" outlineLevel="0" collapsed="false">
      <c r="A51" s="4" t="str">
        <f aca="false">IF($B51="","",ROW()-7)</f>
        <v/>
      </c>
      <c r="J51" s="9" t="str">
        <f aca="false">IF($H51="","",$H51*$I51)</f>
        <v/>
      </c>
    </row>
    <row r="52" customFormat="false" ht="15" hidden="false" customHeight="false" outlineLevel="0" collapsed="false">
      <c r="A52" s="4" t="str">
        <f aca="false">IF($B52="","",ROW()-7)</f>
        <v/>
      </c>
      <c r="J52" s="9" t="str">
        <f aca="false">IF($H52="","",$H52*$I52)</f>
        <v/>
      </c>
    </row>
    <row r="53" customFormat="false" ht="15" hidden="false" customHeight="false" outlineLevel="0" collapsed="false">
      <c r="A53" s="4" t="str">
        <f aca="false">IF($B53="","",ROW()-7)</f>
        <v/>
      </c>
      <c r="J53" s="9" t="str">
        <f aca="false">IF($H53="","",$H53*$I53)</f>
        <v/>
      </c>
    </row>
    <row r="54" customFormat="false" ht="15" hidden="false" customHeight="false" outlineLevel="0" collapsed="false">
      <c r="A54" s="4" t="str">
        <f aca="false">IF($B54="","",ROW()-7)</f>
        <v/>
      </c>
      <c r="J54" s="9" t="str">
        <f aca="false">IF($H54="","",$H54*$I54)</f>
        <v/>
      </c>
    </row>
    <row r="55" customFormat="false" ht="15" hidden="false" customHeight="false" outlineLevel="0" collapsed="false">
      <c r="A55" s="4" t="str">
        <f aca="false">IF($B55="","",ROW()-7)</f>
        <v/>
      </c>
      <c r="J55" s="9" t="str">
        <f aca="false">IF($H55="","",$H55*$I55)</f>
        <v/>
      </c>
    </row>
    <row r="56" customFormat="false" ht="15" hidden="false" customHeight="false" outlineLevel="0" collapsed="false">
      <c r="A56" s="4" t="str">
        <f aca="false">IF($B56="","",ROW()-7)</f>
        <v/>
      </c>
      <c r="J56" s="9" t="str">
        <f aca="false">IF($H56="","",$H56*$I56)</f>
        <v/>
      </c>
    </row>
    <row r="57" customFormat="false" ht="15" hidden="false" customHeight="false" outlineLevel="0" collapsed="false">
      <c r="A57" s="4" t="str">
        <f aca="false">IF($B57="","",ROW()-7)</f>
        <v/>
      </c>
      <c r="J57" s="9" t="str">
        <f aca="false">IF($H57="","",$H57*$I57)</f>
        <v/>
      </c>
    </row>
    <row r="58" customFormat="false" ht="15" hidden="false" customHeight="false" outlineLevel="0" collapsed="false">
      <c r="A58" s="4" t="str">
        <f aca="false">IF($B58="","",ROW()-7)</f>
        <v/>
      </c>
      <c r="J58" s="9" t="str">
        <f aca="false">IF($H58="","",$H58*$I58)</f>
        <v/>
      </c>
    </row>
    <row r="59" customFormat="false" ht="15" hidden="false" customHeight="false" outlineLevel="0" collapsed="false">
      <c r="A59" s="4" t="str">
        <f aca="false">IF($B59="","",ROW()-7)</f>
        <v/>
      </c>
      <c r="J59" s="9" t="str">
        <f aca="false">IF($H59="","",$H59*$I59)</f>
        <v/>
      </c>
    </row>
    <row r="60" customFormat="false" ht="15" hidden="false" customHeight="false" outlineLevel="0" collapsed="false">
      <c r="A60" s="4" t="str">
        <f aca="false">IF($B60="","",ROW()-7)</f>
        <v/>
      </c>
      <c r="J60" s="9" t="str">
        <f aca="false">IF($H60="","",$H60*$I60)</f>
        <v/>
      </c>
    </row>
    <row r="61" customFormat="false" ht="15" hidden="false" customHeight="false" outlineLevel="0" collapsed="false">
      <c r="A61" s="4" t="str">
        <f aca="false">IF($B61="","",ROW()-7)</f>
        <v/>
      </c>
      <c r="J61" s="9" t="str">
        <f aca="false">IF($H61="","",$H61*$I61)</f>
        <v/>
      </c>
    </row>
    <row r="62" customFormat="false" ht="15" hidden="false" customHeight="false" outlineLevel="0" collapsed="false">
      <c r="A62" s="4" t="str">
        <f aca="false">IF($B62="","",ROW()-7)</f>
        <v/>
      </c>
      <c r="J62" s="9" t="str">
        <f aca="false">IF($H62="","",$H62*$I62)</f>
        <v/>
      </c>
    </row>
    <row r="63" customFormat="false" ht="15" hidden="false" customHeight="false" outlineLevel="0" collapsed="false">
      <c r="A63" s="4" t="str">
        <f aca="false">IF($B63="","",ROW()-7)</f>
        <v/>
      </c>
      <c r="J63" s="9" t="str">
        <f aca="false">IF($H63="","",$H63*$I63)</f>
        <v/>
      </c>
    </row>
    <row r="64" customFormat="false" ht="15" hidden="false" customHeight="false" outlineLevel="0" collapsed="false">
      <c r="A64" s="4" t="str">
        <f aca="false">IF($B64="","",ROW()-7)</f>
        <v/>
      </c>
      <c r="J64" s="9" t="str">
        <f aca="false">IF($H64="","",$H64*$I64)</f>
        <v/>
      </c>
    </row>
    <row r="65" customFormat="false" ht="15" hidden="false" customHeight="false" outlineLevel="0" collapsed="false">
      <c r="A65" s="4" t="str">
        <f aca="false">IF($B65="","",ROW()-7)</f>
        <v/>
      </c>
      <c r="J65" s="9" t="str">
        <f aca="false">IF($H65="","",$H65*$I65)</f>
        <v/>
      </c>
    </row>
    <row r="66" customFormat="false" ht="15" hidden="false" customHeight="false" outlineLevel="0" collapsed="false">
      <c r="A66" s="4" t="str">
        <f aca="false">IF($B66="","",ROW()-7)</f>
        <v/>
      </c>
      <c r="J66" s="9" t="str">
        <f aca="false">IF($H66="","",$H66*$I66)</f>
        <v/>
      </c>
    </row>
    <row r="67" customFormat="false" ht="15" hidden="false" customHeight="false" outlineLevel="0" collapsed="false">
      <c r="A67" s="4" t="str">
        <f aca="false">IF($B67="","",ROW()-7)</f>
        <v/>
      </c>
      <c r="J67" s="9" t="str">
        <f aca="false">IF($H67="","",$H67*$I67)</f>
        <v/>
      </c>
    </row>
    <row r="68" customFormat="false" ht="15" hidden="false" customHeight="false" outlineLevel="0" collapsed="false">
      <c r="A68" s="4" t="str">
        <f aca="false">IF($B68="","",ROW()-7)</f>
        <v/>
      </c>
      <c r="J68" s="9" t="str">
        <f aca="false">IF($H68="","",$H68*$I68)</f>
        <v/>
      </c>
    </row>
    <row r="69" customFormat="false" ht="15" hidden="false" customHeight="false" outlineLevel="0" collapsed="false">
      <c r="A69" s="4" t="str">
        <f aca="false">IF($B69="","",ROW()-7)</f>
        <v/>
      </c>
      <c r="J69" s="9" t="str">
        <f aca="false">IF($H69="","",$H69*$I69)</f>
        <v/>
      </c>
    </row>
    <row r="70" customFormat="false" ht="15" hidden="false" customHeight="false" outlineLevel="0" collapsed="false">
      <c r="A70" s="4" t="str">
        <f aca="false">IF($B70="","",ROW()-7)</f>
        <v/>
      </c>
      <c r="J70" s="9" t="str">
        <f aca="false">IF($H70="","",$H70*$I70)</f>
        <v/>
      </c>
    </row>
    <row r="71" customFormat="false" ht="15" hidden="false" customHeight="false" outlineLevel="0" collapsed="false">
      <c r="A71" s="4" t="str">
        <f aca="false">IF($B71="","",ROW()-7)</f>
        <v/>
      </c>
      <c r="J71" s="9" t="str">
        <f aca="false">IF($H71="","",$H71*$I71)</f>
        <v/>
      </c>
    </row>
    <row r="72" customFormat="false" ht="15" hidden="false" customHeight="false" outlineLevel="0" collapsed="false">
      <c r="A72" s="4" t="str">
        <f aca="false">IF($B72="","",ROW()-7)</f>
        <v/>
      </c>
      <c r="J72" s="9" t="str">
        <f aca="false">IF($H72="","",$H72*$I72)</f>
        <v/>
      </c>
    </row>
    <row r="73" customFormat="false" ht="15" hidden="false" customHeight="false" outlineLevel="0" collapsed="false">
      <c r="A73" s="4" t="str">
        <f aca="false">IF($B73="","",ROW()-7)</f>
        <v/>
      </c>
      <c r="J73" s="9" t="str">
        <f aca="false">IF($H73="","",$H73*$I73)</f>
        <v/>
      </c>
    </row>
    <row r="74" customFormat="false" ht="15" hidden="false" customHeight="false" outlineLevel="0" collapsed="false">
      <c r="A74" s="4" t="str">
        <f aca="false">IF($B74="","",ROW()-7)</f>
        <v/>
      </c>
      <c r="J74" s="9" t="str">
        <f aca="false">IF($H74="","",$H74*$I74)</f>
        <v/>
      </c>
    </row>
    <row r="75" customFormat="false" ht="15" hidden="false" customHeight="false" outlineLevel="0" collapsed="false">
      <c r="A75" s="4" t="str">
        <f aca="false">IF($B75="","",ROW()-7)</f>
        <v/>
      </c>
      <c r="J75" s="9" t="str">
        <f aca="false">IF($H75="","",$H75*$I75)</f>
        <v/>
      </c>
    </row>
    <row r="76" customFormat="false" ht="15" hidden="false" customHeight="false" outlineLevel="0" collapsed="false">
      <c r="A76" s="4" t="str">
        <f aca="false">IF($B76="","",ROW()-7)</f>
        <v/>
      </c>
      <c r="J76" s="9" t="str">
        <f aca="false">IF($H76="","",$H76*$I76)</f>
        <v/>
      </c>
    </row>
    <row r="77" customFormat="false" ht="15" hidden="false" customHeight="false" outlineLevel="0" collapsed="false">
      <c r="A77" s="4" t="str">
        <f aca="false">IF($B77="","",ROW()-7)</f>
        <v/>
      </c>
      <c r="J77" s="9" t="str">
        <f aca="false">IF($H77="","",$H77*$I77)</f>
        <v/>
      </c>
    </row>
    <row r="78" customFormat="false" ht="15" hidden="false" customHeight="false" outlineLevel="0" collapsed="false">
      <c r="A78" s="4" t="str">
        <f aca="false">IF($B78="","",ROW()-7)</f>
        <v/>
      </c>
      <c r="J78" s="9" t="str">
        <f aca="false">IF($H78="","",$H78*$I78)</f>
        <v/>
      </c>
    </row>
    <row r="79" customFormat="false" ht="15" hidden="false" customHeight="false" outlineLevel="0" collapsed="false">
      <c r="A79" s="4" t="str">
        <f aca="false">IF($B79="","",ROW()-7)</f>
        <v/>
      </c>
      <c r="J79" s="9" t="str">
        <f aca="false">IF($H79="","",$H79*$I79)</f>
        <v/>
      </c>
    </row>
    <row r="80" customFormat="false" ht="15" hidden="false" customHeight="false" outlineLevel="0" collapsed="false">
      <c r="A80" s="4" t="str">
        <f aca="false">IF($B80="","",ROW()-7)</f>
        <v/>
      </c>
      <c r="J80" s="9" t="str">
        <f aca="false">IF($H80="","",$H80*$I80)</f>
        <v/>
      </c>
    </row>
    <row r="81" customFormat="false" ht="15" hidden="false" customHeight="false" outlineLevel="0" collapsed="false">
      <c r="A81" s="4" t="str">
        <f aca="false">IF($B81="","",ROW()-7)</f>
        <v/>
      </c>
      <c r="J81" s="9" t="str">
        <f aca="false">IF($H81="","",$H81*$I81)</f>
        <v/>
      </c>
    </row>
    <row r="82" customFormat="false" ht="15" hidden="false" customHeight="false" outlineLevel="0" collapsed="false">
      <c r="A82" s="4" t="str">
        <f aca="false">IF($B82="","",ROW()-7)</f>
        <v/>
      </c>
      <c r="J82" s="9" t="str">
        <f aca="false">IF($H82="","",$H82*$I82)</f>
        <v/>
      </c>
    </row>
    <row r="83" customFormat="false" ht="15" hidden="false" customHeight="false" outlineLevel="0" collapsed="false">
      <c r="A83" s="4" t="str">
        <f aca="false">IF($B83="","",ROW()-7)</f>
        <v/>
      </c>
      <c r="J83" s="9" t="str">
        <f aca="false">IF($H83="","",$H83*$I83)</f>
        <v/>
      </c>
    </row>
    <row r="84" customFormat="false" ht="15" hidden="false" customHeight="false" outlineLevel="0" collapsed="false">
      <c r="A84" s="4" t="str">
        <f aca="false">IF($B84="","",ROW()-7)</f>
        <v/>
      </c>
      <c r="J84" s="9" t="str">
        <f aca="false">IF($H84="","",$H84*$I84)</f>
        <v/>
      </c>
    </row>
    <row r="85" customFormat="false" ht="15" hidden="false" customHeight="false" outlineLevel="0" collapsed="false">
      <c r="A85" s="4" t="str">
        <f aca="false">IF($B85="","",ROW()-7)</f>
        <v/>
      </c>
      <c r="J85" s="9" t="str">
        <f aca="false">IF($H85="","",$H85*$I85)</f>
        <v/>
      </c>
    </row>
    <row r="86" customFormat="false" ht="15" hidden="false" customHeight="false" outlineLevel="0" collapsed="false">
      <c r="A86" s="4" t="str">
        <f aca="false">IF($B86="","",ROW()-7)</f>
        <v/>
      </c>
      <c r="J86" s="9" t="str">
        <f aca="false">IF($H86="","",$H86*$I86)</f>
        <v/>
      </c>
    </row>
    <row r="87" customFormat="false" ht="15" hidden="false" customHeight="false" outlineLevel="0" collapsed="false">
      <c r="A87" s="4" t="str">
        <f aca="false">IF($B87="","",ROW()-7)</f>
        <v/>
      </c>
      <c r="J87" s="9" t="str">
        <f aca="false">IF($H87="","",$H87*$I87)</f>
        <v/>
      </c>
    </row>
    <row r="88" customFormat="false" ht="15" hidden="false" customHeight="false" outlineLevel="0" collapsed="false">
      <c r="A88" s="4" t="str">
        <f aca="false">IF($B88="","",ROW()-7)</f>
        <v/>
      </c>
      <c r="J88" s="9" t="str">
        <f aca="false">IF($H88="","",$H88*$I88)</f>
        <v/>
      </c>
    </row>
    <row r="89" customFormat="false" ht="15" hidden="false" customHeight="false" outlineLevel="0" collapsed="false">
      <c r="A89" s="4" t="str">
        <f aca="false">IF($B89="","",ROW()-7)</f>
        <v/>
      </c>
      <c r="J89" s="9" t="str">
        <f aca="false">IF($H89="","",$H89*$I89)</f>
        <v/>
      </c>
    </row>
    <row r="90" customFormat="false" ht="15" hidden="false" customHeight="false" outlineLevel="0" collapsed="false">
      <c r="A90" s="4" t="str">
        <f aca="false">IF($B90="","",ROW()-7)</f>
        <v/>
      </c>
      <c r="J90" s="9" t="str">
        <f aca="false">IF($H90="","",$H90*$I90)</f>
        <v/>
      </c>
    </row>
    <row r="91" customFormat="false" ht="15" hidden="false" customHeight="false" outlineLevel="0" collapsed="false">
      <c r="A91" s="4" t="str">
        <f aca="false">IF($B91="","",ROW()-7)</f>
        <v/>
      </c>
      <c r="J91" s="9" t="str">
        <f aca="false">IF($H91="","",$H91*$I91)</f>
        <v/>
      </c>
    </row>
    <row r="92" customFormat="false" ht="15" hidden="false" customHeight="false" outlineLevel="0" collapsed="false">
      <c r="A92" s="4" t="str">
        <f aca="false">IF($B92="","",ROW()-7)</f>
        <v/>
      </c>
      <c r="J92" s="9" t="str">
        <f aca="false">IF($H92="","",$H92*$I92)</f>
        <v/>
      </c>
    </row>
    <row r="93" customFormat="false" ht="15" hidden="false" customHeight="false" outlineLevel="0" collapsed="false">
      <c r="A93" s="4" t="str">
        <f aca="false">IF($B93="","",ROW()-7)</f>
        <v/>
      </c>
      <c r="J93" s="9" t="str">
        <f aca="false">IF($H93="","",$H93*$I93)</f>
        <v/>
      </c>
    </row>
    <row r="94" customFormat="false" ht="15" hidden="false" customHeight="false" outlineLevel="0" collapsed="false">
      <c r="A94" s="4" t="str">
        <f aca="false">IF($B94="","",ROW()-7)</f>
        <v/>
      </c>
      <c r="J94" s="9" t="str">
        <f aca="false">IF($H94="","",$H94*$I94)</f>
        <v/>
      </c>
    </row>
    <row r="95" customFormat="false" ht="15" hidden="false" customHeight="false" outlineLevel="0" collapsed="false">
      <c r="A95" s="4" t="str">
        <f aca="false">IF($B95="","",ROW()-7)</f>
        <v/>
      </c>
      <c r="J95" s="9" t="str">
        <f aca="false">IF($H95="","",$H95*$I95)</f>
        <v/>
      </c>
    </row>
    <row r="96" customFormat="false" ht="15" hidden="false" customHeight="false" outlineLevel="0" collapsed="false">
      <c r="A96" s="4" t="str">
        <f aca="false">IF($B96="","",ROW()-7)</f>
        <v/>
      </c>
      <c r="J96" s="9" t="str">
        <f aca="false">IF($H96="","",$H96*$I96)</f>
        <v/>
      </c>
    </row>
    <row r="97" customFormat="false" ht="15" hidden="false" customHeight="false" outlineLevel="0" collapsed="false">
      <c r="A97" s="4" t="str">
        <f aca="false">IF($B97="","",ROW()-7)</f>
        <v/>
      </c>
      <c r="J97" s="9" t="str">
        <f aca="false">IF($H97="","",$H97*$I97)</f>
        <v/>
      </c>
    </row>
    <row r="98" customFormat="false" ht="15" hidden="false" customHeight="false" outlineLevel="0" collapsed="false">
      <c r="A98" s="4" t="str">
        <f aca="false">IF($B98="","",ROW()-7)</f>
        <v/>
      </c>
      <c r="J98" s="9" t="str">
        <f aca="false">IF($H98="","",$H98*$I98)</f>
        <v/>
      </c>
    </row>
    <row r="99" customFormat="false" ht="15" hidden="false" customHeight="false" outlineLevel="0" collapsed="false">
      <c r="A99" s="4" t="str">
        <f aca="false">IF($B99="","",ROW()-7)</f>
        <v/>
      </c>
      <c r="J99" s="9" t="str">
        <f aca="false">IF($H99="","",$H99*$I99)</f>
        <v/>
      </c>
    </row>
    <row r="100" customFormat="false" ht="15" hidden="false" customHeight="false" outlineLevel="0" collapsed="false">
      <c r="A100" s="4" t="str">
        <f aca="false">IF($B100="","",ROW()-7)</f>
        <v/>
      </c>
      <c r="J100" s="9" t="str">
        <f aca="false">IF($H100="","",$H100*$I100)</f>
        <v/>
      </c>
    </row>
    <row r="101" customFormat="false" ht="15" hidden="false" customHeight="false" outlineLevel="0" collapsed="false">
      <c r="A101" s="4" t="str">
        <f aca="false">IF($B101="","",ROW()-7)</f>
        <v/>
      </c>
      <c r="J101" s="9" t="str">
        <f aca="false">IF($H101="","",$H101*$I101)</f>
        <v/>
      </c>
    </row>
    <row r="102" customFormat="false" ht="15" hidden="false" customHeight="false" outlineLevel="0" collapsed="false">
      <c r="A102" s="4" t="str">
        <f aca="false">IF($B102="","",ROW()-7)</f>
        <v/>
      </c>
      <c r="J102" s="9" t="str">
        <f aca="false">IF($H102="","",$H102*$I102)</f>
        <v/>
      </c>
    </row>
    <row r="103" customFormat="false" ht="15" hidden="false" customHeight="false" outlineLevel="0" collapsed="false">
      <c r="A103" s="4" t="str">
        <f aca="false">IF($B103="","",ROW()-7)</f>
        <v/>
      </c>
      <c r="J103" s="9" t="str">
        <f aca="false">IF($H103="","",$H103*$I103)</f>
        <v/>
      </c>
    </row>
    <row r="104" customFormat="false" ht="15" hidden="false" customHeight="false" outlineLevel="0" collapsed="false">
      <c r="A104" s="4" t="str">
        <f aca="false">IF($B104="","",ROW()-7)</f>
        <v/>
      </c>
      <c r="J104" s="9" t="str">
        <f aca="false">IF($H104="","",$H104*$I104)</f>
        <v/>
      </c>
    </row>
    <row r="105" customFormat="false" ht="15" hidden="false" customHeight="false" outlineLevel="0" collapsed="false">
      <c r="A105" s="4" t="str">
        <f aca="false">IF($B105="","",ROW()-7)</f>
        <v/>
      </c>
      <c r="J105" s="9" t="str">
        <f aca="false">IF($H105="","",$H105*$I105)</f>
        <v/>
      </c>
    </row>
    <row r="106" customFormat="false" ht="15" hidden="false" customHeight="false" outlineLevel="0" collapsed="false">
      <c r="A106" s="4" t="str">
        <f aca="false">IF($B106="","",ROW()-7)</f>
        <v/>
      </c>
      <c r="J106" s="9" t="str">
        <f aca="false">IF($H106="","",$H106*$I106)</f>
        <v/>
      </c>
    </row>
    <row r="107" customFormat="false" ht="15" hidden="false" customHeight="false" outlineLevel="0" collapsed="false">
      <c r="A107" s="4" t="str">
        <f aca="false">IF($B107="","",ROW()-7)</f>
        <v/>
      </c>
      <c r="J107" s="9" t="str">
        <f aca="false">IF($H107="","",$H107*$I107)</f>
        <v/>
      </c>
    </row>
  </sheetData>
  <mergeCells count="5">
    <mergeCell ref="A1:M1"/>
    <mergeCell ref="B3:C3"/>
    <mergeCell ref="B4:C4"/>
    <mergeCell ref="B5:C5"/>
    <mergeCell ref="O6:P6"/>
  </mergeCells>
  <conditionalFormatting sqref="L8:L107">
    <cfRule type="cellIs" priority="2" operator="equal" aboveAverage="0" equalAverage="0" bottom="0" percent="0" rank="0" text="" dxfId="0">
      <formula>"Đã chuyển khoản"</formula>
    </cfRule>
    <cfRule type="cellIs" priority="3" operator="equal" aboveAverage="0" equalAverage="0" bottom="0" percent="0" rank="0" text="" dxfId="1">
      <formula>"Chưa chuyển khoản"</formula>
    </cfRule>
  </conditionalFormatting>
  <dataValidations count="1">
    <dataValidation allowBlank="true" error="Chọn: Đã chuyển khoản hoặc Chưa chuyển khoản" errorStyle="stop" operator="between" showDropDown="false" showErrorMessage="false" showInputMessage="false" sqref="L8:L107" type="list">
      <formula1>"Đã chuyển khoản,Chưa chuyển khoản"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4" width="5"/>
    <col collapsed="false" customWidth="true" hidden="false" outlineLevel="0" max="2" min="2" style="5" width="12"/>
    <col collapsed="false" customWidth="true" hidden="false" outlineLevel="0" max="3" min="3" style="6" width="20"/>
    <col collapsed="false" customWidth="true" hidden="false" outlineLevel="0" max="4" min="4" style="6" width="26"/>
    <col collapsed="false" customWidth="true" hidden="false" outlineLevel="0" max="6" min="5" style="7" width="14"/>
    <col collapsed="false" customWidth="true" hidden="false" outlineLevel="0" max="7" min="7" style="6" width="24"/>
    <col collapsed="false" customWidth="true" hidden="false" outlineLevel="0" max="8" min="8" style="8" width="10"/>
    <col collapsed="false" customWidth="true" hidden="false" outlineLevel="0" max="9" min="9" style="9" width="12"/>
    <col collapsed="false" customWidth="true" hidden="false" outlineLevel="0" max="10" min="10" style="9" width="14"/>
    <col collapsed="false" customWidth="true" hidden="false" outlineLevel="0" max="11" min="11" style="4" width="18"/>
    <col collapsed="false" customWidth="true" hidden="false" outlineLevel="0" max="12" min="12" style="4" width="20"/>
    <col collapsed="false" customWidth="true" hidden="false" outlineLevel="0" max="13" min="13" style="6" width="18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25.5" hidden="false" customHeight="true" outlineLevel="0" collapsed="false">
      <c r="A1" s="10" t="s">
        <v>68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customFormat="false" ht="15" hidden="false" customHeight="true" outlineLevel="0" collapsed="false">
      <c r="B3" s="11" t="s">
        <v>27</v>
      </c>
      <c r="C3" s="11"/>
      <c r="D3" s="12" t="n">
        <f aca="false">SUM($J$8:$J$107)</f>
        <v>0</v>
      </c>
    </row>
    <row r="4" customFormat="false" ht="15" hidden="false" customHeight="true" outlineLevel="0" collapsed="false">
      <c r="B4" s="11" t="s">
        <v>28</v>
      </c>
      <c r="C4" s="11"/>
      <c r="D4" s="12" t="n">
        <f aca="false">SUMIF($L$8:$L$107,"Đã chuyển khoản",$J$8:$J$107)</f>
        <v>0</v>
      </c>
    </row>
    <row r="5" customFormat="false" ht="15" hidden="false" customHeight="true" outlineLevel="0" collapsed="false">
      <c r="B5" s="11" t="s">
        <v>29</v>
      </c>
      <c r="C5" s="11"/>
      <c r="D5" s="12" t="n">
        <f aca="false">SUMIF($L$8:$L$107,"Chưa chuyển khoản",$J$8:$J$107)</f>
        <v>0</v>
      </c>
    </row>
    <row r="6" customFormat="false" ht="15" hidden="false" customHeight="true" outlineLevel="0" collapsed="false">
      <c r="O6" s="13" t="s">
        <v>30</v>
      </c>
      <c r="P6" s="13"/>
    </row>
    <row r="7" customFormat="false" ht="30" hidden="false" customHeight="true" outlineLevel="0" collapsed="false">
      <c r="A7" s="14" t="s">
        <v>31</v>
      </c>
      <c r="B7" s="14" t="s">
        <v>32</v>
      </c>
      <c r="C7" s="14" t="s">
        <v>33</v>
      </c>
      <c r="D7" s="14" t="s">
        <v>34</v>
      </c>
      <c r="E7" s="14" t="s">
        <v>35</v>
      </c>
      <c r="F7" s="14" t="s">
        <v>36</v>
      </c>
      <c r="G7" s="14" t="s">
        <v>37</v>
      </c>
      <c r="H7" s="14" t="s">
        <v>38</v>
      </c>
      <c r="I7" s="14" t="s">
        <v>39</v>
      </c>
      <c r="J7" s="14" t="s">
        <v>40</v>
      </c>
      <c r="K7" s="14" t="s">
        <v>41</v>
      </c>
      <c r="L7" s="14" t="s">
        <v>42</v>
      </c>
      <c r="M7" s="14" t="s">
        <v>43</v>
      </c>
      <c r="O7" s="14" t="s">
        <v>44</v>
      </c>
      <c r="P7" s="14" t="s">
        <v>45</v>
      </c>
    </row>
    <row r="8" customFormat="false" ht="15" hidden="false" customHeight="false" outlineLevel="0" collapsed="false">
      <c r="A8" s="4" t="str">
        <f aca="false">IF($B8="","",ROW()-7)</f>
        <v/>
      </c>
      <c r="J8" s="9" t="str">
        <f aca="false">IF($H8="","",$H8*$I8)</f>
        <v/>
      </c>
      <c r="O8" s="18" t="n">
        <v>46235</v>
      </c>
      <c r="P8" s="19" t="n">
        <f aca="false">SUMIF($B$8:$B$107,$O8,$J$8:$J$107)</f>
        <v>0</v>
      </c>
    </row>
    <row r="9" customFormat="false" ht="15" hidden="false" customHeight="false" outlineLevel="0" collapsed="false">
      <c r="A9" s="4" t="str">
        <f aca="false">IF($B9="","",ROW()-7)</f>
        <v/>
      </c>
      <c r="J9" s="9" t="str">
        <f aca="false">IF($H9="","",$H9*$I9)</f>
        <v/>
      </c>
      <c r="O9" s="18" t="n">
        <v>46236</v>
      </c>
      <c r="P9" s="19" t="n">
        <f aca="false">SUMIF($B$8:$B$107,$O9,$J$8:$J$107)</f>
        <v>0</v>
      </c>
    </row>
    <row r="10" customFormat="false" ht="15" hidden="false" customHeight="false" outlineLevel="0" collapsed="false">
      <c r="A10" s="4" t="str">
        <f aca="false">IF($B10="","",ROW()-7)</f>
        <v/>
      </c>
      <c r="J10" s="9" t="str">
        <f aca="false">IF($H10="","",$H10*$I10)</f>
        <v/>
      </c>
      <c r="O10" s="18" t="n">
        <v>46237</v>
      </c>
      <c r="P10" s="19" t="n">
        <f aca="false">SUMIF($B$8:$B$107,$O10,$J$8:$J$107)</f>
        <v>0</v>
      </c>
    </row>
    <row r="11" customFormat="false" ht="15" hidden="false" customHeight="false" outlineLevel="0" collapsed="false">
      <c r="A11" s="4" t="str">
        <f aca="false">IF($B11="","",ROW()-7)</f>
        <v/>
      </c>
      <c r="J11" s="9" t="str">
        <f aca="false">IF($H11="","",$H11*$I11)</f>
        <v/>
      </c>
      <c r="O11" s="18" t="n">
        <v>46238</v>
      </c>
      <c r="P11" s="19" t="n">
        <f aca="false">SUMIF($B$8:$B$107,$O11,$J$8:$J$107)</f>
        <v>0</v>
      </c>
    </row>
    <row r="12" customFormat="false" ht="15" hidden="false" customHeight="false" outlineLevel="0" collapsed="false">
      <c r="A12" s="4" t="str">
        <f aca="false">IF($B12="","",ROW()-7)</f>
        <v/>
      </c>
      <c r="J12" s="9" t="str">
        <f aca="false">IF($H12="","",$H12*$I12)</f>
        <v/>
      </c>
      <c r="O12" s="18" t="n">
        <v>46239</v>
      </c>
      <c r="P12" s="19" t="n">
        <f aca="false">SUMIF($B$8:$B$107,$O12,$J$8:$J$107)</f>
        <v>0</v>
      </c>
    </row>
    <row r="13" customFormat="false" ht="15" hidden="false" customHeight="false" outlineLevel="0" collapsed="false">
      <c r="A13" s="4" t="str">
        <f aca="false">IF($B13="","",ROW()-7)</f>
        <v/>
      </c>
      <c r="J13" s="9" t="str">
        <f aca="false">IF($H13="","",$H13*$I13)</f>
        <v/>
      </c>
      <c r="O13" s="18" t="n">
        <v>46240</v>
      </c>
      <c r="P13" s="19" t="n">
        <f aca="false">SUMIF($B$8:$B$107,$O13,$J$8:$J$107)</f>
        <v>0</v>
      </c>
    </row>
    <row r="14" customFormat="false" ht="15" hidden="false" customHeight="false" outlineLevel="0" collapsed="false">
      <c r="A14" s="4" t="str">
        <f aca="false">IF($B14="","",ROW()-7)</f>
        <v/>
      </c>
      <c r="J14" s="9" t="str">
        <f aca="false">IF($H14="","",$H14*$I14)</f>
        <v/>
      </c>
      <c r="O14" s="18" t="n">
        <v>46241</v>
      </c>
      <c r="P14" s="19" t="n">
        <f aca="false">SUMIF($B$8:$B$107,$O14,$J$8:$J$107)</f>
        <v>0</v>
      </c>
    </row>
    <row r="15" customFormat="false" ht="15" hidden="false" customHeight="false" outlineLevel="0" collapsed="false">
      <c r="A15" s="4" t="str">
        <f aca="false">IF($B15="","",ROW()-7)</f>
        <v/>
      </c>
      <c r="J15" s="9" t="str">
        <f aca="false">IF($H15="","",$H15*$I15)</f>
        <v/>
      </c>
      <c r="O15" s="18" t="n">
        <v>46242</v>
      </c>
      <c r="P15" s="19" t="n">
        <f aca="false">SUMIF($B$8:$B$107,$O15,$J$8:$J$107)</f>
        <v>0</v>
      </c>
    </row>
    <row r="16" customFormat="false" ht="15" hidden="false" customHeight="false" outlineLevel="0" collapsed="false">
      <c r="A16" s="4" t="str">
        <f aca="false">IF($B16="","",ROW()-7)</f>
        <v/>
      </c>
      <c r="J16" s="9" t="str">
        <f aca="false">IF($H16="","",$H16*$I16)</f>
        <v/>
      </c>
      <c r="O16" s="18" t="n">
        <v>46243</v>
      </c>
      <c r="P16" s="19" t="n">
        <f aca="false">SUMIF($B$8:$B$107,$O16,$J$8:$J$107)</f>
        <v>0</v>
      </c>
    </row>
    <row r="17" customFormat="false" ht="15" hidden="false" customHeight="false" outlineLevel="0" collapsed="false">
      <c r="A17" s="4" t="str">
        <f aca="false">IF($B17="","",ROW()-7)</f>
        <v/>
      </c>
      <c r="J17" s="9" t="str">
        <f aca="false">IF($H17="","",$H17*$I17)</f>
        <v/>
      </c>
      <c r="O17" s="18" t="n">
        <v>46244</v>
      </c>
      <c r="P17" s="19" t="n">
        <f aca="false">SUMIF($B$8:$B$107,$O17,$J$8:$J$107)</f>
        <v>0</v>
      </c>
    </row>
    <row r="18" customFormat="false" ht="15" hidden="false" customHeight="false" outlineLevel="0" collapsed="false">
      <c r="A18" s="4" t="str">
        <f aca="false">IF($B18="","",ROW()-7)</f>
        <v/>
      </c>
      <c r="J18" s="9" t="str">
        <f aca="false">IF($H18="","",$H18*$I18)</f>
        <v/>
      </c>
      <c r="O18" s="18" t="n">
        <v>46245</v>
      </c>
      <c r="P18" s="19" t="n">
        <f aca="false">SUMIF($B$8:$B$107,$O18,$J$8:$J$107)</f>
        <v>0</v>
      </c>
    </row>
    <row r="19" customFormat="false" ht="15" hidden="false" customHeight="false" outlineLevel="0" collapsed="false">
      <c r="A19" s="4" t="str">
        <f aca="false">IF($B19="","",ROW()-7)</f>
        <v/>
      </c>
      <c r="J19" s="9" t="str">
        <f aca="false">IF($H19="","",$H19*$I19)</f>
        <v/>
      </c>
      <c r="O19" s="18" t="n">
        <v>46246</v>
      </c>
      <c r="P19" s="19" t="n">
        <f aca="false">SUMIF($B$8:$B$107,$O19,$J$8:$J$107)</f>
        <v>0</v>
      </c>
    </row>
    <row r="20" customFormat="false" ht="15" hidden="false" customHeight="false" outlineLevel="0" collapsed="false">
      <c r="A20" s="4" t="str">
        <f aca="false">IF($B20="","",ROW()-7)</f>
        <v/>
      </c>
      <c r="J20" s="9" t="str">
        <f aca="false">IF($H20="","",$H20*$I20)</f>
        <v/>
      </c>
      <c r="O20" s="18" t="n">
        <v>46247</v>
      </c>
      <c r="P20" s="19" t="n">
        <f aca="false">SUMIF($B$8:$B$107,$O20,$J$8:$J$107)</f>
        <v>0</v>
      </c>
    </row>
    <row r="21" customFormat="false" ht="15" hidden="false" customHeight="false" outlineLevel="0" collapsed="false">
      <c r="A21" s="4" t="str">
        <f aca="false">IF($B21="","",ROW()-7)</f>
        <v/>
      </c>
      <c r="J21" s="9" t="str">
        <f aca="false">IF($H21="","",$H21*$I21)</f>
        <v/>
      </c>
      <c r="O21" s="18" t="n">
        <v>46248</v>
      </c>
      <c r="P21" s="19" t="n">
        <f aca="false">SUMIF($B$8:$B$107,$O21,$J$8:$J$107)</f>
        <v>0</v>
      </c>
    </row>
    <row r="22" customFormat="false" ht="15" hidden="false" customHeight="false" outlineLevel="0" collapsed="false">
      <c r="A22" s="4" t="str">
        <f aca="false">IF($B22="","",ROW()-7)</f>
        <v/>
      </c>
      <c r="J22" s="9" t="str">
        <f aca="false">IF($H22="","",$H22*$I22)</f>
        <v/>
      </c>
      <c r="O22" s="18" t="n">
        <v>46249</v>
      </c>
      <c r="P22" s="19" t="n">
        <f aca="false">SUMIF($B$8:$B$107,$O22,$J$8:$J$107)</f>
        <v>0</v>
      </c>
    </row>
    <row r="23" customFormat="false" ht="15" hidden="false" customHeight="false" outlineLevel="0" collapsed="false">
      <c r="A23" s="4" t="str">
        <f aca="false">IF($B23="","",ROW()-7)</f>
        <v/>
      </c>
      <c r="J23" s="9" t="str">
        <f aca="false">IF($H23="","",$H23*$I23)</f>
        <v/>
      </c>
      <c r="O23" s="18" t="n">
        <v>46250</v>
      </c>
      <c r="P23" s="19" t="n">
        <f aca="false">SUMIF($B$8:$B$107,$O23,$J$8:$J$107)</f>
        <v>0</v>
      </c>
    </row>
    <row r="24" customFormat="false" ht="15" hidden="false" customHeight="false" outlineLevel="0" collapsed="false">
      <c r="A24" s="4" t="str">
        <f aca="false">IF($B24="","",ROW()-7)</f>
        <v/>
      </c>
      <c r="J24" s="9" t="str">
        <f aca="false">IF($H24="","",$H24*$I24)</f>
        <v/>
      </c>
      <c r="O24" s="18" t="n">
        <v>46251</v>
      </c>
      <c r="P24" s="19" t="n">
        <f aca="false">SUMIF($B$8:$B$107,$O24,$J$8:$J$107)</f>
        <v>0</v>
      </c>
    </row>
    <row r="25" customFormat="false" ht="15" hidden="false" customHeight="false" outlineLevel="0" collapsed="false">
      <c r="A25" s="4" t="str">
        <f aca="false">IF($B25="","",ROW()-7)</f>
        <v/>
      </c>
      <c r="J25" s="9" t="str">
        <f aca="false">IF($H25="","",$H25*$I25)</f>
        <v/>
      </c>
      <c r="O25" s="18" t="n">
        <v>46252</v>
      </c>
      <c r="P25" s="19" t="n">
        <f aca="false">SUMIF($B$8:$B$107,$O25,$J$8:$J$107)</f>
        <v>0</v>
      </c>
    </row>
    <row r="26" customFormat="false" ht="15" hidden="false" customHeight="false" outlineLevel="0" collapsed="false">
      <c r="A26" s="4" t="str">
        <f aca="false">IF($B26="","",ROW()-7)</f>
        <v/>
      </c>
      <c r="J26" s="9" t="str">
        <f aca="false">IF($H26="","",$H26*$I26)</f>
        <v/>
      </c>
      <c r="O26" s="18" t="n">
        <v>46253</v>
      </c>
      <c r="P26" s="19" t="n">
        <f aca="false">SUMIF($B$8:$B$107,$O26,$J$8:$J$107)</f>
        <v>0</v>
      </c>
    </row>
    <row r="27" customFormat="false" ht="15" hidden="false" customHeight="false" outlineLevel="0" collapsed="false">
      <c r="A27" s="4" t="str">
        <f aca="false">IF($B27="","",ROW()-7)</f>
        <v/>
      </c>
      <c r="J27" s="9" t="str">
        <f aca="false">IF($H27="","",$H27*$I27)</f>
        <v/>
      </c>
      <c r="O27" s="18" t="n">
        <v>46254</v>
      </c>
      <c r="P27" s="19" t="n">
        <f aca="false">SUMIF($B$8:$B$107,$O27,$J$8:$J$107)</f>
        <v>0</v>
      </c>
    </row>
    <row r="28" customFormat="false" ht="15" hidden="false" customHeight="false" outlineLevel="0" collapsed="false">
      <c r="A28" s="4" t="str">
        <f aca="false">IF($B28="","",ROW()-7)</f>
        <v/>
      </c>
      <c r="J28" s="9" t="str">
        <f aca="false">IF($H28="","",$H28*$I28)</f>
        <v/>
      </c>
      <c r="O28" s="18" t="n">
        <v>46255</v>
      </c>
      <c r="P28" s="19" t="n">
        <f aca="false">SUMIF($B$8:$B$107,$O28,$J$8:$J$107)</f>
        <v>0</v>
      </c>
    </row>
    <row r="29" customFormat="false" ht="15" hidden="false" customHeight="false" outlineLevel="0" collapsed="false">
      <c r="A29" s="4" t="str">
        <f aca="false">IF($B29="","",ROW()-7)</f>
        <v/>
      </c>
      <c r="J29" s="9" t="str">
        <f aca="false">IF($H29="","",$H29*$I29)</f>
        <v/>
      </c>
      <c r="O29" s="18" t="n">
        <v>46256</v>
      </c>
      <c r="P29" s="19" t="n">
        <f aca="false">SUMIF($B$8:$B$107,$O29,$J$8:$J$107)</f>
        <v>0</v>
      </c>
    </row>
    <row r="30" customFormat="false" ht="15" hidden="false" customHeight="false" outlineLevel="0" collapsed="false">
      <c r="A30" s="4" t="str">
        <f aca="false">IF($B30="","",ROW()-7)</f>
        <v/>
      </c>
      <c r="J30" s="9" t="str">
        <f aca="false">IF($H30="","",$H30*$I30)</f>
        <v/>
      </c>
      <c r="O30" s="18" t="n">
        <v>46257</v>
      </c>
      <c r="P30" s="19" t="n">
        <f aca="false">SUMIF($B$8:$B$107,$O30,$J$8:$J$107)</f>
        <v>0</v>
      </c>
    </row>
    <row r="31" customFormat="false" ht="15" hidden="false" customHeight="false" outlineLevel="0" collapsed="false">
      <c r="A31" s="4" t="str">
        <f aca="false">IF($B31="","",ROW()-7)</f>
        <v/>
      </c>
      <c r="J31" s="9" t="str">
        <f aca="false">IF($H31="","",$H31*$I31)</f>
        <v/>
      </c>
      <c r="O31" s="18" t="n">
        <v>46258</v>
      </c>
      <c r="P31" s="19" t="n">
        <f aca="false">SUMIF($B$8:$B$107,$O31,$J$8:$J$107)</f>
        <v>0</v>
      </c>
    </row>
    <row r="32" customFormat="false" ht="15" hidden="false" customHeight="false" outlineLevel="0" collapsed="false">
      <c r="A32" s="4" t="str">
        <f aca="false">IF($B32="","",ROW()-7)</f>
        <v/>
      </c>
      <c r="J32" s="9" t="str">
        <f aca="false">IF($H32="","",$H32*$I32)</f>
        <v/>
      </c>
      <c r="O32" s="18" t="n">
        <v>46259</v>
      </c>
      <c r="P32" s="19" t="n">
        <f aca="false">SUMIF($B$8:$B$107,$O32,$J$8:$J$107)</f>
        <v>0</v>
      </c>
    </row>
    <row r="33" customFormat="false" ht="15" hidden="false" customHeight="false" outlineLevel="0" collapsed="false">
      <c r="A33" s="4" t="str">
        <f aca="false">IF($B33="","",ROW()-7)</f>
        <v/>
      </c>
      <c r="J33" s="9" t="str">
        <f aca="false">IF($H33="","",$H33*$I33)</f>
        <v/>
      </c>
      <c r="O33" s="18" t="n">
        <v>46260</v>
      </c>
      <c r="P33" s="19" t="n">
        <f aca="false">SUMIF($B$8:$B$107,$O33,$J$8:$J$107)</f>
        <v>0</v>
      </c>
    </row>
    <row r="34" customFormat="false" ht="15" hidden="false" customHeight="false" outlineLevel="0" collapsed="false">
      <c r="A34" s="4" t="str">
        <f aca="false">IF($B34="","",ROW()-7)</f>
        <v/>
      </c>
      <c r="J34" s="9" t="str">
        <f aca="false">IF($H34="","",$H34*$I34)</f>
        <v/>
      </c>
      <c r="O34" s="18" t="n">
        <v>46261</v>
      </c>
      <c r="P34" s="19" t="n">
        <f aca="false">SUMIF($B$8:$B$107,$O34,$J$8:$J$107)</f>
        <v>0</v>
      </c>
    </row>
    <row r="35" customFormat="false" ht="15" hidden="false" customHeight="false" outlineLevel="0" collapsed="false">
      <c r="A35" s="4" t="str">
        <f aca="false">IF($B35="","",ROW()-7)</f>
        <v/>
      </c>
      <c r="J35" s="9" t="str">
        <f aca="false">IF($H35="","",$H35*$I35)</f>
        <v/>
      </c>
      <c r="O35" s="18" t="n">
        <v>46262</v>
      </c>
      <c r="P35" s="19" t="n">
        <f aca="false">SUMIF($B$8:$B$107,$O35,$J$8:$J$107)</f>
        <v>0</v>
      </c>
    </row>
    <row r="36" customFormat="false" ht="15" hidden="false" customHeight="false" outlineLevel="0" collapsed="false">
      <c r="A36" s="4" t="str">
        <f aca="false">IF($B36="","",ROW()-7)</f>
        <v/>
      </c>
      <c r="J36" s="9" t="str">
        <f aca="false">IF($H36="","",$H36*$I36)</f>
        <v/>
      </c>
      <c r="O36" s="18" t="n">
        <v>46263</v>
      </c>
      <c r="P36" s="19" t="n">
        <f aca="false">SUMIF($B$8:$B$107,$O36,$J$8:$J$107)</f>
        <v>0</v>
      </c>
    </row>
    <row r="37" customFormat="false" ht="15" hidden="false" customHeight="false" outlineLevel="0" collapsed="false">
      <c r="A37" s="4" t="str">
        <f aca="false">IF($B37="","",ROW()-7)</f>
        <v/>
      </c>
      <c r="J37" s="9" t="str">
        <f aca="false">IF($H37="","",$H37*$I37)</f>
        <v/>
      </c>
      <c r="O37" s="18" t="n">
        <v>46264</v>
      </c>
      <c r="P37" s="19" t="n">
        <f aca="false">SUMIF($B$8:$B$107,$O37,$J$8:$J$107)</f>
        <v>0</v>
      </c>
    </row>
    <row r="38" customFormat="false" ht="15" hidden="false" customHeight="false" outlineLevel="0" collapsed="false">
      <c r="A38" s="4" t="str">
        <f aca="false">IF($B38="","",ROW()-7)</f>
        <v/>
      </c>
      <c r="J38" s="9" t="str">
        <f aca="false">IF($H38="","",$H38*$I38)</f>
        <v/>
      </c>
      <c r="O38" s="18" t="n">
        <v>46265</v>
      </c>
      <c r="P38" s="19" t="n">
        <f aca="false">SUMIF($B$8:$B$107,$O38,$J$8:$J$107)</f>
        <v>0</v>
      </c>
    </row>
    <row r="39" customFormat="false" ht="15" hidden="false" customHeight="false" outlineLevel="0" collapsed="false">
      <c r="A39" s="4" t="str">
        <f aca="false">IF($B39="","",ROW()-7)</f>
        <v/>
      </c>
      <c r="J39" s="9" t="str">
        <f aca="false">IF($H39="","",$H39*$I39)</f>
        <v/>
      </c>
      <c r="O39" s="20" t="s">
        <v>67</v>
      </c>
      <c r="P39" s="21" t="n">
        <f aca="false">SUM($P$8:$P$38)</f>
        <v>0</v>
      </c>
    </row>
    <row r="40" customFormat="false" ht="15" hidden="false" customHeight="false" outlineLevel="0" collapsed="false">
      <c r="A40" s="4" t="str">
        <f aca="false">IF($B40="","",ROW()-7)</f>
        <v/>
      </c>
      <c r="J40" s="9" t="str">
        <f aca="false">IF($H40="","",$H40*$I40)</f>
        <v/>
      </c>
    </row>
    <row r="41" customFormat="false" ht="15" hidden="false" customHeight="false" outlineLevel="0" collapsed="false">
      <c r="A41" s="4" t="str">
        <f aca="false">IF($B41="","",ROW()-7)</f>
        <v/>
      </c>
      <c r="J41" s="9" t="str">
        <f aca="false">IF($H41="","",$H41*$I41)</f>
        <v/>
      </c>
    </row>
    <row r="42" customFormat="false" ht="15" hidden="false" customHeight="false" outlineLevel="0" collapsed="false">
      <c r="A42" s="4" t="str">
        <f aca="false">IF($B42="","",ROW()-7)</f>
        <v/>
      </c>
      <c r="J42" s="9" t="str">
        <f aca="false">IF($H42="","",$H42*$I42)</f>
        <v/>
      </c>
    </row>
    <row r="43" customFormat="false" ht="15" hidden="false" customHeight="false" outlineLevel="0" collapsed="false">
      <c r="A43" s="4" t="str">
        <f aca="false">IF($B43="","",ROW()-7)</f>
        <v/>
      </c>
      <c r="J43" s="9" t="str">
        <f aca="false">IF($H43="","",$H43*$I43)</f>
        <v/>
      </c>
    </row>
    <row r="44" customFormat="false" ht="15" hidden="false" customHeight="false" outlineLevel="0" collapsed="false">
      <c r="A44" s="4" t="str">
        <f aca="false">IF($B44="","",ROW()-7)</f>
        <v/>
      </c>
      <c r="J44" s="9" t="str">
        <f aca="false">IF($H44="","",$H44*$I44)</f>
        <v/>
      </c>
    </row>
    <row r="45" customFormat="false" ht="15" hidden="false" customHeight="false" outlineLevel="0" collapsed="false">
      <c r="A45" s="4" t="str">
        <f aca="false">IF($B45="","",ROW()-7)</f>
        <v/>
      </c>
      <c r="J45" s="9" t="str">
        <f aca="false">IF($H45="","",$H45*$I45)</f>
        <v/>
      </c>
    </row>
    <row r="46" customFormat="false" ht="15" hidden="false" customHeight="false" outlineLevel="0" collapsed="false">
      <c r="A46" s="4" t="str">
        <f aca="false">IF($B46="","",ROW()-7)</f>
        <v/>
      </c>
      <c r="J46" s="9" t="str">
        <f aca="false">IF($H46="","",$H46*$I46)</f>
        <v/>
      </c>
    </row>
    <row r="47" customFormat="false" ht="15" hidden="false" customHeight="false" outlineLevel="0" collapsed="false">
      <c r="A47" s="4" t="str">
        <f aca="false">IF($B47="","",ROW()-7)</f>
        <v/>
      </c>
      <c r="J47" s="9" t="str">
        <f aca="false">IF($H47="","",$H47*$I47)</f>
        <v/>
      </c>
    </row>
    <row r="48" customFormat="false" ht="15" hidden="false" customHeight="false" outlineLevel="0" collapsed="false">
      <c r="A48" s="4" t="str">
        <f aca="false">IF($B48="","",ROW()-7)</f>
        <v/>
      </c>
      <c r="J48" s="9" t="str">
        <f aca="false">IF($H48="","",$H48*$I48)</f>
        <v/>
      </c>
    </row>
    <row r="49" customFormat="false" ht="15" hidden="false" customHeight="false" outlineLevel="0" collapsed="false">
      <c r="A49" s="4" t="str">
        <f aca="false">IF($B49="","",ROW()-7)</f>
        <v/>
      </c>
      <c r="J49" s="9" t="str">
        <f aca="false">IF($H49="","",$H49*$I49)</f>
        <v/>
      </c>
    </row>
    <row r="50" customFormat="false" ht="15" hidden="false" customHeight="false" outlineLevel="0" collapsed="false">
      <c r="A50" s="4" t="str">
        <f aca="false">IF($B50="","",ROW()-7)</f>
        <v/>
      </c>
      <c r="J50" s="9" t="str">
        <f aca="false">IF($H50="","",$H50*$I50)</f>
        <v/>
      </c>
    </row>
    <row r="51" customFormat="false" ht="15" hidden="false" customHeight="false" outlineLevel="0" collapsed="false">
      <c r="A51" s="4" t="str">
        <f aca="false">IF($B51="","",ROW()-7)</f>
        <v/>
      </c>
      <c r="J51" s="9" t="str">
        <f aca="false">IF($H51="","",$H51*$I51)</f>
        <v/>
      </c>
    </row>
    <row r="52" customFormat="false" ht="15" hidden="false" customHeight="false" outlineLevel="0" collapsed="false">
      <c r="A52" s="4" t="str">
        <f aca="false">IF($B52="","",ROW()-7)</f>
        <v/>
      </c>
      <c r="J52" s="9" t="str">
        <f aca="false">IF($H52="","",$H52*$I52)</f>
        <v/>
      </c>
    </row>
    <row r="53" customFormat="false" ht="15" hidden="false" customHeight="false" outlineLevel="0" collapsed="false">
      <c r="A53" s="4" t="str">
        <f aca="false">IF($B53="","",ROW()-7)</f>
        <v/>
      </c>
      <c r="J53" s="9" t="str">
        <f aca="false">IF($H53="","",$H53*$I53)</f>
        <v/>
      </c>
    </row>
    <row r="54" customFormat="false" ht="15" hidden="false" customHeight="false" outlineLevel="0" collapsed="false">
      <c r="A54" s="4" t="str">
        <f aca="false">IF($B54="","",ROW()-7)</f>
        <v/>
      </c>
      <c r="J54" s="9" t="str">
        <f aca="false">IF($H54="","",$H54*$I54)</f>
        <v/>
      </c>
    </row>
    <row r="55" customFormat="false" ht="15" hidden="false" customHeight="false" outlineLevel="0" collapsed="false">
      <c r="A55" s="4" t="str">
        <f aca="false">IF($B55="","",ROW()-7)</f>
        <v/>
      </c>
      <c r="J55" s="9" t="str">
        <f aca="false">IF($H55="","",$H55*$I55)</f>
        <v/>
      </c>
    </row>
    <row r="56" customFormat="false" ht="15" hidden="false" customHeight="false" outlineLevel="0" collapsed="false">
      <c r="A56" s="4" t="str">
        <f aca="false">IF($B56="","",ROW()-7)</f>
        <v/>
      </c>
      <c r="J56" s="9" t="str">
        <f aca="false">IF($H56="","",$H56*$I56)</f>
        <v/>
      </c>
    </row>
    <row r="57" customFormat="false" ht="15" hidden="false" customHeight="false" outlineLevel="0" collapsed="false">
      <c r="A57" s="4" t="str">
        <f aca="false">IF($B57="","",ROW()-7)</f>
        <v/>
      </c>
      <c r="J57" s="9" t="str">
        <f aca="false">IF($H57="","",$H57*$I57)</f>
        <v/>
      </c>
    </row>
    <row r="58" customFormat="false" ht="15" hidden="false" customHeight="false" outlineLevel="0" collapsed="false">
      <c r="A58" s="4" t="str">
        <f aca="false">IF($B58="","",ROW()-7)</f>
        <v/>
      </c>
      <c r="J58" s="9" t="str">
        <f aca="false">IF($H58="","",$H58*$I58)</f>
        <v/>
      </c>
    </row>
    <row r="59" customFormat="false" ht="15" hidden="false" customHeight="false" outlineLevel="0" collapsed="false">
      <c r="A59" s="4" t="str">
        <f aca="false">IF($B59="","",ROW()-7)</f>
        <v/>
      </c>
      <c r="J59" s="9" t="str">
        <f aca="false">IF($H59="","",$H59*$I59)</f>
        <v/>
      </c>
    </row>
    <row r="60" customFormat="false" ht="15" hidden="false" customHeight="false" outlineLevel="0" collapsed="false">
      <c r="A60" s="4" t="str">
        <f aca="false">IF($B60="","",ROW()-7)</f>
        <v/>
      </c>
      <c r="J60" s="9" t="str">
        <f aca="false">IF($H60="","",$H60*$I60)</f>
        <v/>
      </c>
    </row>
    <row r="61" customFormat="false" ht="15" hidden="false" customHeight="false" outlineLevel="0" collapsed="false">
      <c r="A61" s="4" t="str">
        <f aca="false">IF($B61="","",ROW()-7)</f>
        <v/>
      </c>
      <c r="J61" s="9" t="str">
        <f aca="false">IF($H61="","",$H61*$I61)</f>
        <v/>
      </c>
    </row>
    <row r="62" customFormat="false" ht="15" hidden="false" customHeight="false" outlineLevel="0" collapsed="false">
      <c r="A62" s="4" t="str">
        <f aca="false">IF($B62="","",ROW()-7)</f>
        <v/>
      </c>
      <c r="J62" s="9" t="str">
        <f aca="false">IF($H62="","",$H62*$I62)</f>
        <v/>
      </c>
    </row>
    <row r="63" customFormat="false" ht="15" hidden="false" customHeight="false" outlineLevel="0" collapsed="false">
      <c r="A63" s="4" t="str">
        <f aca="false">IF($B63="","",ROW()-7)</f>
        <v/>
      </c>
      <c r="J63" s="9" t="str">
        <f aca="false">IF($H63="","",$H63*$I63)</f>
        <v/>
      </c>
    </row>
    <row r="64" customFormat="false" ht="15" hidden="false" customHeight="false" outlineLevel="0" collapsed="false">
      <c r="A64" s="4" t="str">
        <f aca="false">IF($B64="","",ROW()-7)</f>
        <v/>
      </c>
      <c r="J64" s="9" t="str">
        <f aca="false">IF($H64="","",$H64*$I64)</f>
        <v/>
      </c>
    </row>
    <row r="65" customFormat="false" ht="15" hidden="false" customHeight="false" outlineLevel="0" collapsed="false">
      <c r="A65" s="4" t="str">
        <f aca="false">IF($B65="","",ROW()-7)</f>
        <v/>
      </c>
      <c r="J65" s="9" t="str">
        <f aca="false">IF($H65="","",$H65*$I65)</f>
        <v/>
      </c>
    </row>
    <row r="66" customFormat="false" ht="15" hidden="false" customHeight="false" outlineLevel="0" collapsed="false">
      <c r="A66" s="4" t="str">
        <f aca="false">IF($B66="","",ROW()-7)</f>
        <v/>
      </c>
      <c r="J66" s="9" t="str">
        <f aca="false">IF($H66="","",$H66*$I66)</f>
        <v/>
      </c>
    </row>
    <row r="67" customFormat="false" ht="15" hidden="false" customHeight="false" outlineLevel="0" collapsed="false">
      <c r="A67" s="4" t="str">
        <f aca="false">IF($B67="","",ROW()-7)</f>
        <v/>
      </c>
      <c r="J67" s="9" t="str">
        <f aca="false">IF($H67="","",$H67*$I67)</f>
        <v/>
      </c>
    </row>
    <row r="68" customFormat="false" ht="15" hidden="false" customHeight="false" outlineLevel="0" collapsed="false">
      <c r="A68" s="4" t="str">
        <f aca="false">IF($B68="","",ROW()-7)</f>
        <v/>
      </c>
      <c r="J68" s="9" t="str">
        <f aca="false">IF($H68="","",$H68*$I68)</f>
        <v/>
      </c>
    </row>
    <row r="69" customFormat="false" ht="15" hidden="false" customHeight="false" outlineLevel="0" collapsed="false">
      <c r="A69" s="4" t="str">
        <f aca="false">IF($B69="","",ROW()-7)</f>
        <v/>
      </c>
      <c r="J69" s="9" t="str">
        <f aca="false">IF($H69="","",$H69*$I69)</f>
        <v/>
      </c>
    </row>
    <row r="70" customFormat="false" ht="15" hidden="false" customHeight="false" outlineLevel="0" collapsed="false">
      <c r="A70" s="4" t="str">
        <f aca="false">IF($B70="","",ROW()-7)</f>
        <v/>
      </c>
      <c r="J70" s="9" t="str">
        <f aca="false">IF($H70="","",$H70*$I70)</f>
        <v/>
      </c>
    </row>
    <row r="71" customFormat="false" ht="15" hidden="false" customHeight="false" outlineLevel="0" collapsed="false">
      <c r="A71" s="4" t="str">
        <f aca="false">IF($B71="","",ROW()-7)</f>
        <v/>
      </c>
      <c r="J71" s="9" t="str">
        <f aca="false">IF($H71="","",$H71*$I71)</f>
        <v/>
      </c>
    </row>
    <row r="72" customFormat="false" ht="15" hidden="false" customHeight="false" outlineLevel="0" collapsed="false">
      <c r="A72" s="4" t="str">
        <f aca="false">IF($B72="","",ROW()-7)</f>
        <v/>
      </c>
      <c r="J72" s="9" t="str">
        <f aca="false">IF($H72="","",$H72*$I72)</f>
        <v/>
      </c>
    </row>
    <row r="73" customFormat="false" ht="15" hidden="false" customHeight="false" outlineLevel="0" collapsed="false">
      <c r="A73" s="4" t="str">
        <f aca="false">IF($B73="","",ROW()-7)</f>
        <v/>
      </c>
      <c r="J73" s="9" t="str">
        <f aca="false">IF($H73="","",$H73*$I73)</f>
        <v/>
      </c>
    </row>
    <row r="74" customFormat="false" ht="15" hidden="false" customHeight="false" outlineLevel="0" collapsed="false">
      <c r="A74" s="4" t="str">
        <f aca="false">IF($B74="","",ROW()-7)</f>
        <v/>
      </c>
      <c r="J74" s="9" t="str">
        <f aca="false">IF($H74="","",$H74*$I74)</f>
        <v/>
      </c>
    </row>
    <row r="75" customFormat="false" ht="15" hidden="false" customHeight="false" outlineLevel="0" collapsed="false">
      <c r="A75" s="4" t="str">
        <f aca="false">IF($B75="","",ROW()-7)</f>
        <v/>
      </c>
      <c r="J75" s="9" t="str">
        <f aca="false">IF($H75="","",$H75*$I75)</f>
        <v/>
      </c>
    </row>
    <row r="76" customFormat="false" ht="15" hidden="false" customHeight="false" outlineLevel="0" collapsed="false">
      <c r="A76" s="4" t="str">
        <f aca="false">IF($B76="","",ROW()-7)</f>
        <v/>
      </c>
      <c r="J76" s="9" t="str">
        <f aca="false">IF($H76="","",$H76*$I76)</f>
        <v/>
      </c>
    </row>
    <row r="77" customFormat="false" ht="15" hidden="false" customHeight="false" outlineLevel="0" collapsed="false">
      <c r="A77" s="4" t="str">
        <f aca="false">IF($B77="","",ROW()-7)</f>
        <v/>
      </c>
      <c r="J77" s="9" t="str">
        <f aca="false">IF($H77="","",$H77*$I77)</f>
        <v/>
      </c>
    </row>
    <row r="78" customFormat="false" ht="15" hidden="false" customHeight="false" outlineLevel="0" collapsed="false">
      <c r="A78" s="4" t="str">
        <f aca="false">IF($B78="","",ROW()-7)</f>
        <v/>
      </c>
      <c r="J78" s="9" t="str">
        <f aca="false">IF($H78="","",$H78*$I78)</f>
        <v/>
      </c>
    </row>
    <row r="79" customFormat="false" ht="15" hidden="false" customHeight="false" outlineLevel="0" collapsed="false">
      <c r="A79" s="4" t="str">
        <f aca="false">IF($B79="","",ROW()-7)</f>
        <v/>
      </c>
      <c r="J79" s="9" t="str">
        <f aca="false">IF($H79="","",$H79*$I79)</f>
        <v/>
      </c>
    </row>
    <row r="80" customFormat="false" ht="15" hidden="false" customHeight="false" outlineLevel="0" collapsed="false">
      <c r="A80" s="4" t="str">
        <f aca="false">IF($B80="","",ROW()-7)</f>
        <v/>
      </c>
      <c r="J80" s="9" t="str">
        <f aca="false">IF($H80="","",$H80*$I80)</f>
        <v/>
      </c>
    </row>
    <row r="81" customFormat="false" ht="15" hidden="false" customHeight="false" outlineLevel="0" collapsed="false">
      <c r="A81" s="4" t="str">
        <f aca="false">IF($B81="","",ROW()-7)</f>
        <v/>
      </c>
      <c r="J81" s="9" t="str">
        <f aca="false">IF($H81="","",$H81*$I81)</f>
        <v/>
      </c>
    </row>
    <row r="82" customFormat="false" ht="15" hidden="false" customHeight="false" outlineLevel="0" collapsed="false">
      <c r="A82" s="4" t="str">
        <f aca="false">IF($B82="","",ROW()-7)</f>
        <v/>
      </c>
      <c r="J82" s="9" t="str">
        <f aca="false">IF($H82="","",$H82*$I82)</f>
        <v/>
      </c>
    </row>
    <row r="83" customFormat="false" ht="15" hidden="false" customHeight="false" outlineLevel="0" collapsed="false">
      <c r="A83" s="4" t="str">
        <f aca="false">IF($B83="","",ROW()-7)</f>
        <v/>
      </c>
      <c r="J83" s="9" t="str">
        <f aca="false">IF($H83="","",$H83*$I83)</f>
        <v/>
      </c>
    </row>
    <row r="84" customFormat="false" ht="15" hidden="false" customHeight="false" outlineLevel="0" collapsed="false">
      <c r="A84" s="4" t="str">
        <f aca="false">IF($B84="","",ROW()-7)</f>
        <v/>
      </c>
      <c r="J84" s="9" t="str">
        <f aca="false">IF($H84="","",$H84*$I84)</f>
        <v/>
      </c>
    </row>
    <row r="85" customFormat="false" ht="15" hidden="false" customHeight="false" outlineLevel="0" collapsed="false">
      <c r="A85" s="4" t="str">
        <f aca="false">IF($B85="","",ROW()-7)</f>
        <v/>
      </c>
      <c r="J85" s="9" t="str">
        <f aca="false">IF($H85="","",$H85*$I85)</f>
        <v/>
      </c>
    </row>
    <row r="86" customFormat="false" ht="15" hidden="false" customHeight="false" outlineLevel="0" collapsed="false">
      <c r="A86" s="4" t="str">
        <f aca="false">IF($B86="","",ROW()-7)</f>
        <v/>
      </c>
      <c r="J86" s="9" t="str">
        <f aca="false">IF($H86="","",$H86*$I86)</f>
        <v/>
      </c>
    </row>
    <row r="87" customFormat="false" ht="15" hidden="false" customHeight="false" outlineLevel="0" collapsed="false">
      <c r="A87" s="4" t="str">
        <f aca="false">IF($B87="","",ROW()-7)</f>
        <v/>
      </c>
      <c r="J87" s="9" t="str">
        <f aca="false">IF($H87="","",$H87*$I87)</f>
        <v/>
      </c>
    </row>
    <row r="88" customFormat="false" ht="15" hidden="false" customHeight="false" outlineLevel="0" collapsed="false">
      <c r="A88" s="4" t="str">
        <f aca="false">IF($B88="","",ROW()-7)</f>
        <v/>
      </c>
      <c r="J88" s="9" t="str">
        <f aca="false">IF($H88="","",$H88*$I88)</f>
        <v/>
      </c>
    </row>
    <row r="89" customFormat="false" ht="15" hidden="false" customHeight="false" outlineLevel="0" collapsed="false">
      <c r="A89" s="4" t="str">
        <f aca="false">IF($B89="","",ROW()-7)</f>
        <v/>
      </c>
      <c r="J89" s="9" t="str">
        <f aca="false">IF($H89="","",$H89*$I89)</f>
        <v/>
      </c>
    </row>
    <row r="90" customFormat="false" ht="15" hidden="false" customHeight="false" outlineLevel="0" collapsed="false">
      <c r="A90" s="4" t="str">
        <f aca="false">IF($B90="","",ROW()-7)</f>
        <v/>
      </c>
      <c r="J90" s="9" t="str">
        <f aca="false">IF($H90="","",$H90*$I90)</f>
        <v/>
      </c>
    </row>
    <row r="91" customFormat="false" ht="15" hidden="false" customHeight="false" outlineLevel="0" collapsed="false">
      <c r="A91" s="4" t="str">
        <f aca="false">IF($B91="","",ROW()-7)</f>
        <v/>
      </c>
      <c r="J91" s="9" t="str">
        <f aca="false">IF($H91="","",$H91*$I91)</f>
        <v/>
      </c>
    </row>
    <row r="92" customFormat="false" ht="15" hidden="false" customHeight="false" outlineLevel="0" collapsed="false">
      <c r="A92" s="4" t="str">
        <f aca="false">IF($B92="","",ROW()-7)</f>
        <v/>
      </c>
      <c r="J92" s="9" t="str">
        <f aca="false">IF($H92="","",$H92*$I92)</f>
        <v/>
      </c>
    </row>
    <row r="93" customFormat="false" ht="15" hidden="false" customHeight="false" outlineLevel="0" collapsed="false">
      <c r="A93" s="4" t="str">
        <f aca="false">IF($B93="","",ROW()-7)</f>
        <v/>
      </c>
      <c r="J93" s="9" t="str">
        <f aca="false">IF($H93="","",$H93*$I93)</f>
        <v/>
      </c>
    </row>
    <row r="94" customFormat="false" ht="15" hidden="false" customHeight="false" outlineLevel="0" collapsed="false">
      <c r="A94" s="4" t="str">
        <f aca="false">IF($B94="","",ROW()-7)</f>
        <v/>
      </c>
      <c r="J94" s="9" t="str">
        <f aca="false">IF($H94="","",$H94*$I94)</f>
        <v/>
      </c>
    </row>
    <row r="95" customFormat="false" ht="15" hidden="false" customHeight="false" outlineLevel="0" collapsed="false">
      <c r="A95" s="4" t="str">
        <f aca="false">IF($B95="","",ROW()-7)</f>
        <v/>
      </c>
      <c r="J95" s="9" t="str">
        <f aca="false">IF($H95="","",$H95*$I95)</f>
        <v/>
      </c>
    </row>
    <row r="96" customFormat="false" ht="15" hidden="false" customHeight="false" outlineLevel="0" collapsed="false">
      <c r="A96" s="4" t="str">
        <f aca="false">IF($B96="","",ROW()-7)</f>
        <v/>
      </c>
      <c r="J96" s="9" t="str">
        <f aca="false">IF($H96="","",$H96*$I96)</f>
        <v/>
      </c>
    </row>
    <row r="97" customFormat="false" ht="15" hidden="false" customHeight="false" outlineLevel="0" collapsed="false">
      <c r="A97" s="4" t="str">
        <f aca="false">IF($B97="","",ROW()-7)</f>
        <v/>
      </c>
      <c r="J97" s="9" t="str">
        <f aca="false">IF($H97="","",$H97*$I97)</f>
        <v/>
      </c>
    </row>
    <row r="98" customFormat="false" ht="15" hidden="false" customHeight="false" outlineLevel="0" collapsed="false">
      <c r="A98" s="4" t="str">
        <f aca="false">IF($B98="","",ROW()-7)</f>
        <v/>
      </c>
      <c r="J98" s="9" t="str">
        <f aca="false">IF($H98="","",$H98*$I98)</f>
        <v/>
      </c>
    </row>
    <row r="99" customFormat="false" ht="15" hidden="false" customHeight="false" outlineLevel="0" collapsed="false">
      <c r="A99" s="4" t="str">
        <f aca="false">IF($B99="","",ROW()-7)</f>
        <v/>
      </c>
      <c r="J99" s="9" t="str">
        <f aca="false">IF($H99="","",$H99*$I99)</f>
        <v/>
      </c>
    </row>
    <row r="100" customFormat="false" ht="15" hidden="false" customHeight="false" outlineLevel="0" collapsed="false">
      <c r="A100" s="4" t="str">
        <f aca="false">IF($B100="","",ROW()-7)</f>
        <v/>
      </c>
      <c r="J100" s="9" t="str">
        <f aca="false">IF($H100="","",$H100*$I100)</f>
        <v/>
      </c>
    </row>
    <row r="101" customFormat="false" ht="15" hidden="false" customHeight="false" outlineLevel="0" collapsed="false">
      <c r="A101" s="4" t="str">
        <f aca="false">IF($B101="","",ROW()-7)</f>
        <v/>
      </c>
      <c r="J101" s="9" t="str">
        <f aca="false">IF($H101="","",$H101*$I101)</f>
        <v/>
      </c>
    </row>
    <row r="102" customFormat="false" ht="15" hidden="false" customHeight="false" outlineLevel="0" collapsed="false">
      <c r="A102" s="4" t="str">
        <f aca="false">IF($B102="","",ROW()-7)</f>
        <v/>
      </c>
      <c r="J102" s="9" t="str">
        <f aca="false">IF($H102="","",$H102*$I102)</f>
        <v/>
      </c>
    </row>
    <row r="103" customFormat="false" ht="15" hidden="false" customHeight="false" outlineLevel="0" collapsed="false">
      <c r="A103" s="4" t="str">
        <f aca="false">IF($B103="","",ROW()-7)</f>
        <v/>
      </c>
      <c r="J103" s="9" t="str">
        <f aca="false">IF($H103="","",$H103*$I103)</f>
        <v/>
      </c>
    </row>
    <row r="104" customFormat="false" ht="15" hidden="false" customHeight="false" outlineLevel="0" collapsed="false">
      <c r="A104" s="4" t="str">
        <f aca="false">IF($B104="","",ROW()-7)</f>
        <v/>
      </c>
      <c r="J104" s="9" t="str">
        <f aca="false">IF($H104="","",$H104*$I104)</f>
        <v/>
      </c>
    </row>
    <row r="105" customFormat="false" ht="15" hidden="false" customHeight="false" outlineLevel="0" collapsed="false">
      <c r="A105" s="4" t="str">
        <f aca="false">IF($B105="","",ROW()-7)</f>
        <v/>
      </c>
      <c r="J105" s="9" t="str">
        <f aca="false">IF($H105="","",$H105*$I105)</f>
        <v/>
      </c>
    </row>
    <row r="106" customFormat="false" ht="15" hidden="false" customHeight="false" outlineLevel="0" collapsed="false">
      <c r="A106" s="4" t="str">
        <f aca="false">IF($B106="","",ROW()-7)</f>
        <v/>
      </c>
      <c r="J106" s="9" t="str">
        <f aca="false">IF($H106="","",$H106*$I106)</f>
        <v/>
      </c>
    </row>
    <row r="107" customFormat="false" ht="15" hidden="false" customHeight="false" outlineLevel="0" collapsed="false">
      <c r="A107" s="4" t="str">
        <f aca="false">IF($B107="","",ROW()-7)</f>
        <v/>
      </c>
      <c r="J107" s="9" t="str">
        <f aca="false">IF($H107="","",$H107*$I107)</f>
        <v/>
      </c>
    </row>
  </sheetData>
  <mergeCells count="5">
    <mergeCell ref="A1:M1"/>
    <mergeCell ref="B3:C3"/>
    <mergeCell ref="B4:C4"/>
    <mergeCell ref="B5:C5"/>
    <mergeCell ref="O6:P6"/>
  </mergeCells>
  <conditionalFormatting sqref="L8:L107">
    <cfRule type="cellIs" priority="2" operator="equal" aboveAverage="0" equalAverage="0" bottom="0" percent="0" rank="0" text="" dxfId="0">
      <formula>"Đã chuyển khoản"</formula>
    </cfRule>
    <cfRule type="cellIs" priority="3" operator="equal" aboveAverage="0" equalAverage="0" bottom="0" percent="0" rank="0" text="" dxfId="1">
      <formula>"Chưa chuyển khoản"</formula>
    </cfRule>
  </conditionalFormatting>
  <dataValidations count="1">
    <dataValidation allowBlank="true" error="Chọn: Đã chuyển khoản hoặc Chưa chuyển khoản" errorStyle="stop" operator="between" showDropDown="false" showErrorMessage="false" showInputMessage="false" sqref="L8:L107" type="list">
      <formula1>"Đã chuyển khoản,Chưa chuyển khoản"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4" width="5"/>
    <col collapsed="false" customWidth="true" hidden="false" outlineLevel="0" max="2" min="2" style="5" width="12"/>
    <col collapsed="false" customWidth="true" hidden="false" outlineLevel="0" max="3" min="3" style="6" width="20"/>
    <col collapsed="false" customWidth="true" hidden="false" outlineLevel="0" max="4" min="4" style="6" width="26"/>
    <col collapsed="false" customWidth="true" hidden="false" outlineLevel="0" max="6" min="5" style="7" width="14"/>
    <col collapsed="false" customWidth="true" hidden="false" outlineLevel="0" max="7" min="7" style="6" width="24"/>
    <col collapsed="false" customWidth="true" hidden="false" outlineLevel="0" max="8" min="8" style="8" width="10"/>
    <col collapsed="false" customWidth="true" hidden="false" outlineLevel="0" max="9" min="9" style="9" width="12"/>
    <col collapsed="false" customWidth="true" hidden="false" outlineLevel="0" max="10" min="10" style="9" width="14"/>
    <col collapsed="false" customWidth="true" hidden="false" outlineLevel="0" max="11" min="11" style="4" width="18"/>
    <col collapsed="false" customWidth="true" hidden="false" outlineLevel="0" max="12" min="12" style="4" width="20"/>
    <col collapsed="false" customWidth="true" hidden="false" outlineLevel="0" max="13" min="13" style="6" width="18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25.5" hidden="false" customHeight="true" outlineLevel="0" collapsed="false">
      <c r="A1" s="10" t="s">
        <v>69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customFormat="false" ht="15" hidden="false" customHeight="true" outlineLevel="0" collapsed="false">
      <c r="B3" s="11" t="s">
        <v>27</v>
      </c>
      <c r="C3" s="11"/>
      <c r="D3" s="12" t="n">
        <f aca="false">SUM($J$8:$J$107)</f>
        <v>0</v>
      </c>
    </row>
    <row r="4" customFormat="false" ht="15" hidden="false" customHeight="true" outlineLevel="0" collapsed="false">
      <c r="B4" s="11" t="s">
        <v>28</v>
      </c>
      <c r="C4" s="11"/>
      <c r="D4" s="12" t="n">
        <f aca="false">SUMIF($L$8:$L$107,"Đã chuyển khoản",$J$8:$J$107)</f>
        <v>0</v>
      </c>
    </row>
    <row r="5" customFormat="false" ht="15" hidden="false" customHeight="true" outlineLevel="0" collapsed="false">
      <c r="B5" s="11" t="s">
        <v>29</v>
      </c>
      <c r="C5" s="11"/>
      <c r="D5" s="12" t="n">
        <f aca="false">SUMIF($L$8:$L$107,"Chưa chuyển khoản",$J$8:$J$107)</f>
        <v>0</v>
      </c>
    </row>
    <row r="6" customFormat="false" ht="15" hidden="false" customHeight="true" outlineLevel="0" collapsed="false">
      <c r="O6" s="13" t="s">
        <v>30</v>
      </c>
      <c r="P6" s="13"/>
    </row>
    <row r="7" customFormat="false" ht="30" hidden="false" customHeight="true" outlineLevel="0" collapsed="false">
      <c r="A7" s="14" t="s">
        <v>31</v>
      </c>
      <c r="B7" s="14" t="s">
        <v>32</v>
      </c>
      <c r="C7" s="14" t="s">
        <v>33</v>
      </c>
      <c r="D7" s="14" t="s">
        <v>34</v>
      </c>
      <c r="E7" s="14" t="s">
        <v>35</v>
      </c>
      <c r="F7" s="14" t="s">
        <v>36</v>
      </c>
      <c r="G7" s="14" t="s">
        <v>37</v>
      </c>
      <c r="H7" s="14" t="s">
        <v>38</v>
      </c>
      <c r="I7" s="14" t="s">
        <v>39</v>
      </c>
      <c r="J7" s="14" t="s">
        <v>40</v>
      </c>
      <c r="K7" s="14" t="s">
        <v>41</v>
      </c>
      <c r="L7" s="14" t="s">
        <v>42</v>
      </c>
      <c r="M7" s="14" t="s">
        <v>43</v>
      </c>
      <c r="O7" s="14" t="s">
        <v>44</v>
      </c>
      <c r="P7" s="14" t="s">
        <v>45</v>
      </c>
    </row>
    <row r="8" customFormat="false" ht="15" hidden="false" customHeight="false" outlineLevel="0" collapsed="false">
      <c r="A8" s="4" t="str">
        <f aca="false">IF($B8="","",ROW()-7)</f>
        <v/>
      </c>
      <c r="J8" s="9" t="str">
        <f aca="false">IF($H8="","",$H8*$I8)</f>
        <v/>
      </c>
      <c r="O8" s="18" t="n">
        <v>46266</v>
      </c>
      <c r="P8" s="19" t="n">
        <f aca="false">SUMIF($B$8:$B$107,$O8,$J$8:$J$107)</f>
        <v>0</v>
      </c>
    </row>
    <row r="9" customFormat="false" ht="15" hidden="false" customHeight="false" outlineLevel="0" collapsed="false">
      <c r="A9" s="4" t="str">
        <f aca="false">IF($B9="","",ROW()-7)</f>
        <v/>
      </c>
      <c r="J9" s="9" t="str">
        <f aca="false">IF($H9="","",$H9*$I9)</f>
        <v/>
      </c>
      <c r="O9" s="18" t="n">
        <v>46267</v>
      </c>
      <c r="P9" s="19" t="n">
        <f aca="false">SUMIF($B$8:$B$107,$O9,$J$8:$J$107)</f>
        <v>0</v>
      </c>
    </row>
    <row r="10" customFormat="false" ht="15" hidden="false" customHeight="false" outlineLevel="0" collapsed="false">
      <c r="A10" s="4" t="str">
        <f aca="false">IF($B10="","",ROW()-7)</f>
        <v/>
      </c>
      <c r="J10" s="9" t="str">
        <f aca="false">IF($H10="","",$H10*$I10)</f>
        <v/>
      </c>
      <c r="O10" s="18" t="n">
        <v>46268</v>
      </c>
      <c r="P10" s="19" t="n">
        <f aca="false">SUMIF($B$8:$B$107,$O10,$J$8:$J$107)</f>
        <v>0</v>
      </c>
    </row>
    <row r="11" customFormat="false" ht="15" hidden="false" customHeight="false" outlineLevel="0" collapsed="false">
      <c r="A11" s="4" t="str">
        <f aca="false">IF($B11="","",ROW()-7)</f>
        <v/>
      </c>
      <c r="J11" s="9" t="str">
        <f aca="false">IF($H11="","",$H11*$I11)</f>
        <v/>
      </c>
      <c r="O11" s="18" t="n">
        <v>46269</v>
      </c>
      <c r="P11" s="19" t="n">
        <f aca="false">SUMIF($B$8:$B$107,$O11,$J$8:$J$107)</f>
        <v>0</v>
      </c>
    </row>
    <row r="12" customFormat="false" ht="15" hidden="false" customHeight="false" outlineLevel="0" collapsed="false">
      <c r="A12" s="4" t="str">
        <f aca="false">IF($B12="","",ROW()-7)</f>
        <v/>
      </c>
      <c r="J12" s="9" t="str">
        <f aca="false">IF($H12="","",$H12*$I12)</f>
        <v/>
      </c>
      <c r="O12" s="18" t="n">
        <v>46270</v>
      </c>
      <c r="P12" s="19" t="n">
        <f aca="false">SUMIF($B$8:$B$107,$O12,$J$8:$J$107)</f>
        <v>0</v>
      </c>
    </row>
    <row r="13" customFormat="false" ht="15" hidden="false" customHeight="false" outlineLevel="0" collapsed="false">
      <c r="A13" s="4" t="str">
        <f aca="false">IF($B13="","",ROW()-7)</f>
        <v/>
      </c>
      <c r="J13" s="9" t="str">
        <f aca="false">IF($H13="","",$H13*$I13)</f>
        <v/>
      </c>
      <c r="O13" s="18" t="n">
        <v>46271</v>
      </c>
      <c r="P13" s="19" t="n">
        <f aca="false">SUMIF($B$8:$B$107,$O13,$J$8:$J$107)</f>
        <v>0</v>
      </c>
    </row>
    <row r="14" customFormat="false" ht="15" hidden="false" customHeight="false" outlineLevel="0" collapsed="false">
      <c r="A14" s="4" t="str">
        <f aca="false">IF($B14="","",ROW()-7)</f>
        <v/>
      </c>
      <c r="J14" s="9" t="str">
        <f aca="false">IF($H14="","",$H14*$I14)</f>
        <v/>
      </c>
      <c r="O14" s="18" t="n">
        <v>46272</v>
      </c>
      <c r="P14" s="19" t="n">
        <f aca="false">SUMIF($B$8:$B$107,$O14,$J$8:$J$107)</f>
        <v>0</v>
      </c>
    </row>
    <row r="15" customFormat="false" ht="15" hidden="false" customHeight="false" outlineLevel="0" collapsed="false">
      <c r="A15" s="4" t="str">
        <f aca="false">IF($B15="","",ROW()-7)</f>
        <v/>
      </c>
      <c r="J15" s="9" t="str">
        <f aca="false">IF($H15="","",$H15*$I15)</f>
        <v/>
      </c>
      <c r="O15" s="18" t="n">
        <v>46273</v>
      </c>
      <c r="P15" s="19" t="n">
        <f aca="false">SUMIF($B$8:$B$107,$O15,$J$8:$J$107)</f>
        <v>0</v>
      </c>
    </row>
    <row r="16" customFormat="false" ht="15" hidden="false" customHeight="false" outlineLevel="0" collapsed="false">
      <c r="A16" s="4" t="str">
        <f aca="false">IF($B16="","",ROW()-7)</f>
        <v/>
      </c>
      <c r="J16" s="9" t="str">
        <f aca="false">IF($H16="","",$H16*$I16)</f>
        <v/>
      </c>
      <c r="O16" s="18" t="n">
        <v>46274</v>
      </c>
      <c r="P16" s="19" t="n">
        <f aca="false">SUMIF($B$8:$B$107,$O16,$J$8:$J$107)</f>
        <v>0</v>
      </c>
    </row>
    <row r="17" customFormat="false" ht="15" hidden="false" customHeight="false" outlineLevel="0" collapsed="false">
      <c r="A17" s="4" t="str">
        <f aca="false">IF($B17="","",ROW()-7)</f>
        <v/>
      </c>
      <c r="J17" s="9" t="str">
        <f aca="false">IF($H17="","",$H17*$I17)</f>
        <v/>
      </c>
      <c r="O17" s="18" t="n">
        <v>46275</v>
      </c>
      <c r="P17" s="19" t="n">
        <f aca="false">SUMIF($B$8:$B$107,$O17,$J$8:$J$107)</f>
        <v>0</v>
      </c>
    </row>
    <row r="18" customFormat="false" ht="15" hidden="false" customHeight="false" outlineLevel="0" collapsed="false">
      <c r="A18" s="4" t="str">
        <f aca="false">IF($B18="","",ROW()-7)</f>
        <v/>
      </c>
      <c r="J18" s="9" t="str">
        <f aca="false">IF($H18="","",$H18*$I18)</f>
        <v/>
      </c>
      <c r="O18" s="18" t="n">
        <v>46276</v>
      </c>
      <c r="P18" s="19" t="n">
        <f aca="false">SUMIF($B$8:$B$107,$O18,$J$8:$J$107)</f>
        <v>0</v>
      </c>
    </row>
    <row r="19" customFormat="false" ht="15" hidden="false" customHeight="false" outlineLevel="0" collapsed="false">
      <c r="A19" s="4" t="str">
        <f aca="false">IF($B19="","",ROW()-7)</f>
        <v/>
      </c>
      <c r="J19" s="9" t="str">
        <f aca="false">IF($H19="","",$H19*$I19)</f>
        <v/>
      </c>
      <c r="O19" s="18" t="n">
        <v>46277</v>
      </c>
      <c r="P19" s="19" t="n">
        <f aca="false">SUMIF($B$8:$B$107,$O19,$J$8:$J$107)</f>
        <v>0</v>
      </c>
    </row>
    <row r="20" customFormat="false" ht="15" hidden="false" customHeight="false" outlineLevel="0" collapsed="false">
      <c r="A20" s="4" t="str">
        <f aca="false">IF($B20="","",ROW()-7)</f>
        <v/>
      </c>
      <c r="J20" s="9" t="str">
        <f aca="false">IF($H20="","",$H20*$I20)</f>
        <v/>
      </c>
      <c r="O20" s="18" t="n">
        <v>46278</v>
      </c>
      <c r="P20" s="19" t="n">
        <f aca="false">SUMIF($B$8:$B$107,$O20,$J$8:$J$107)</f>
        <v>0</v>
      </c>
    </row>
    <row r="21" customFormat="false" ht="15" hidden="false" customHeight="false" outlineLevel="0" collapsed="false">
      <c r="A21" s="4" t="str">
        <f aca="false">IF($B21="","",ROW()-7)</f>
        <v/>
      </c>
      <c r="J21" s="9" t="str">
        <f aca="false">IF($H21="","",$H21*$I21)</f>
        <v/>
      </c>
      <c r="O21" s="18" t="n">
        <v>46279</v>
      </c>
      <c r="P21" s="19" t="n">
        <f aca="false">SUMIF($B$8:$B$107,$O21,$J$8:$J$107)</f>
        <v>0</v>
      </c>
    </row>
    <row r="22" customFormat="false" ht="15" hidden="false" customHeight="false" outlineLevel="0" collapsed="false">
      <c r="A22" s="4" t="str">
        <f aca="false">IF($B22="","",ROW()-7)</f>
        <v/>
      </c>
      <c r="J22" s="9" t="str">
        <f aca="false">IF($H22="","",$H22*$I22)</f>
        <v/>
      </c>
      <c r="O22" s="18" t="n">
        <v>46280</v>
      </c>
      <c r="P22" s="19" t="n">
        <f aca="false">SUMIF($B$8:$B$107,$O22,$J$8:$J$107)</f>
        <v>0</v>
      </c>
    </row>
    <row r="23" customFormat="false" ht="15" hidden="false" customHeight="false" outlineLevel="0" collapsed="false">
      <c r="A23" s="4" t="str">
        <f aca="false">IF($B23="","",ROW()-7)</f>
        <v/>
      </c>
      <c r="J23" s="9" t="str">
        <f aca="false">IF($H23="","",$H23*$I23)</f>
        <v/>
      </c>
      <c r="O23" s="18" t="n">
        <v>46281</v>
      </c>
      <c r="P23" s="19" t="n">
        <f aca="false">SUMIF($B$8:$B$107,$O23,$J$8:$J$107)</f>
        <v>0</v>
      </c>
    </row>
    <row r="24" customFormat="false" ht="15" hidden="false" customHeight="false" outlineLevel="0" collapsed="false">
      <c r="A24" s="4" t="str">
        <f aca="false">IF($B24="","",ROW()-7)</f>
        <v/>
      </c>
      <c r="J24" s="9" t="str">
        <f aca="false">IF($H24="","",$H24*$I24)</f>
        <v/>
      </c>
      <c r="O24" s="18" t="n">
        <v>46282</v>
      </c>
      <c r="P24" s="19" t="n">
        <f aca="false">SUMIF($B$8:$B$107,$O24,$J$8:$J$107)</f>
        <v>0</v>
      </c>
    </row>
    <row r="25" customFormat="false" ht="15" hidden="false" customHeight="false" outlineLevel="0" collapsed="false">
      <c r="A25" s="4" t="str">
        <f aca="false">IF($B25="","",ROW()-7)</f>
        <v/>
      </c>
      <c r="J25" s="9" t="str">
        <f aca="false">IF($H25="","",$H25*$I25)</f>
        <v/>
      </c>
      <c r="O25" s="18" t="n">
        <v>46283</v>
      </c>
      <c r="P25" s="19" t="n">
        <f aca="false">SUMIF($B$8:$B$107,$O25,$J$8:$J$107)</f>
        <v>0</v>
      </c>
    </row>
    <row r="26" customFormat="false" ht="15" hidden="false" customHeight="false" outlineLevel="0" collapsed="false">
      <c r="A26" s="4" t="str">
        <f aca="false">IF($B26="","",ROW()-7)</f>
        <v/>
      </c>
      <c r="J26" s="9" t="str">
        <f aca="false">IF($H26="","",$H26*$I26)</f>
        <v/>
      </c>
      <c r="O26" s="18" t="n">
        <v>46284</v>
      </c>
      <c r="P26" s="19" t="n">
        <f aca="false">SUMIF($B$8:$B$107,$O26,$J$8:$J$107)</f>
        <v>0</v>
      </c>
    </row>
    <row r="27" customFormat="false" ht="15" hidden="false" customHeight="false" outlineLevel="0" collapsed="false">
      <c r="A27" s="4" t="str">
        <f aca="false">IF($B27="","",ROW()-7)</f>
        <v/>
      </c>
      <c r="J27" s="9" t="str">
        <f aca="false">IF($H27="","",$H27*$I27)</f>
        <v/>
      </c>
      <c r="O27" s="18" t="n">
        <v>46285</v>
      </c>
      <c r="P27" s="19" t="n">
        <f aca="false">SUMIF($B$8:$B$107,$O27,$J$8:$J$107)</f>
        <v>0</v>
      </c>
    </row>
    <row r="28" customFormat="false" ht="15" hidden="false" customHeight="false" outlineLevel="0" collapsed="false">
      <c r="A28" s="4" t="str">
        <f aca="false">IF($B28="","",ROW()-7)</f>
        <v/>
      </c>
      <c r="J28" s="9" t="str">
        <f aca="false">IF($H28="","",$H28*$I28)</f>
        <v/>
      </c>
      <c r="O28" s="18" t="n">
        <v>46286</v>
      </c>
      <c r="P28" s="19" t="n">
        <f aca="false">SUMIF($B$8:$B$107,$O28,$J$8:$J$107)</f>
        <v>0</v>
      </c>
    </row>
    <row r="29" customFormat="false" ht="15" hidden="false" customHeight="false" outlineLevel="0" collapsed="false">
      <c r="A29" s="4" t="str">
        <f aca="false">IF($B29="","",ROW()-7)</f>
        <v/>
      </c>
      <c r="J29" s="9" t="str">
        <f aca="false">IF($H29="","",$H29*$I29)</f>
        <v/>
      </c>
      <c r="O29" s="18" t="n">
        <v>46287</v>
      </c>
      <c r="P29" s="19" t="n">
        <f aca="false">SUMIF($B$8:$B$107,$O29,$J$8:$J$107)</f>
        <v>0</v>
      </c>
    </row>
    <row r="30" customFormat="false" ht="15" hidden="false" customHeight="false" outlineLevel="0" collapsed="false">
      <c r="A30" s="4" t="str">
        <f aca="false">IF($B30="","",ROW()-7)</f>
        <v/>
      </c>
      <c r="J30" s="9" t="str">
        <f aca="false">IF($H30="","",$H30*$I30)</f>
        <v/>
      </c>
      <c r="O30" s="18" t="n">
        <v>46288</v>
      </c>
      <c r="P30" s="19" t="n">
        <f aca="false">SUMIF($B$8:$B$107,$O30,$J$8:$J$107)</f>
        <v>0</v>
      </c>
    </row>
    <row r="31" customFormat="false" ht="15" hidden="false" customHeight="false" outlineLevel="0" collapsed="false">
      <c r="A31" s="4" t="str">
        <f aca="false">IF($B31="","",ROW()-7)</f>
        <v/>
      </c>
      <c r="J31" s="9" t="str">
        <f aca="false">IF($H31="","",$H31*$I31)</f>
        <v/>
      </c>
      <c r="O31" s="18" t="n">
        <v>46289</v>
      </c>
      <c r="P31" s="19" t="n">
        <f aca="false">SUMIF($B$8:$B$107,$O31,$J$8:$J$107)</f>
        <v>0</v>
      </c>
    </row>
    <row r="32" customFormat="false" ht="15" hidden="false" customHeight="false" outlineLevel="0" collapsed="false">
      <c r="A32" s="4" t="str">
        <f aca="false">IF($B32="","",ROW()-7)</f>
        <v/>
      </c>
      <c r="J32" s="9" t="str">
        <f aca="false">IF($H32="","",$H32*$I32)</f>
        <v/>
      </c>
      <c r="O32" s="18" t="n">
        <v>46290</v>
      </c>
      <c r="P32" s="19" t="n">
        <f aca="false">SUMIF($B$8:$B$107,$O32,$J$8:$J$107)</f>
        <v>0</v>
      </c>
    </row>
    <row r="33" customFormat="false" ht="15" hidden="false" customHeight="false" outlineLevel="0" collapsed="false">
      <c r="A33" s="4" t="str">
        <f aca="false">IF($B33="","",ROW()-7)</f>
        <v/>
      </c>
      <c r="J33" s="9" t="str">
        <f aca="false">IF($H33="","",$H33*$I33)</f>
        <v/>
      </c>
      <c r="O33" s="18" t="n">
        <v>46291</v>
      </c>
      <c r="P33" s="19" t="n">
        <f aca="false">SUMIF($B$8:$B$107,$O33,$J$8:$J$107)</f>
        <v>0</v>
      </c>
    </row>
    <row r="34" customFormat="false" ht="15" hidden="false" customHeight="false" outlineLevel="0" collapsed="false">
      <c r="A34" s="4" t="str">
        <f aca="false">IF($B34="","",ROW()-7)</f>
        <v/>
      </c>
      <c r="J34" s="9" t="str">
        <f aca="false">IF($H34="","",$H34*$I34)</f>
        <v/>
      </c>
      <c r="O34" s="18" t="n">
        <v>46292</v>
      </c>
      <c r="P34" s="19" t="n">
        <f aca="false">SUMIF($B$8:$B$107,$O34,$J$8:$J$107)</f>
        <v>0</v>
      </c>
    </row>
    <row r="35" customFormat="false" ht="15" hidden="false" customHeight="false" outlineLevel="0" collapsed="false">
      <c r="A35" s="4" t="str">
        <f aca="false">IF($B35="","",ROW()-7)</f>
        <v/>
      </c>
      <c r="J35" s="9" t="str">
        <f aca="false">IF($H35="","",$H35*$I35)</f>
        <v/>
      </c>
      <c r="O35" s="18" t="n">
        <v>46293</v>
      </c>
      <c r="P35" s="19" t="n">
        <f aca="false">SUMIF($B$8:$B$107,$O35,$J$8:$J$107)</f>
        <v>0</v>
      </c>
    </row>
    <row r="36" customFormat="false" ht="15" hidden="false" customHeight="false" outlineLevel="0" collapsed="false">
      <c r="A36" s="4" t="str">
        <f aca="false">IF($B36="","",ROW()-7)</f>
        <v/>
      </c>
      <c r="J36" s="9" t="str">
        <f aca="false">IF($H36="","",$H36*$I36)</f>
        <v/>
      </c>
      <c r="O36" s="18" t="n">
        <v>46294</v>
      </c>
      <c r="P36" s="19" t="n">
        <f aca="false">SUMIF($B$8:$B$107,$O36,$J$8:$J$107)</f>
        <v>0</v>
      </c>
    </row>
    <row r="37" customFormat="false" ht="15" hidden="false" customHeight="false" outlineLevel="0" collapsed="false">
      <c r="A37" s="4" t="str">
        <f aca="false">IF($B37="","",ROW()-7)</f>
        <v/>
      </c>
      <c r="J37" s="9" t="str">
        <f aca="false">IF($H37="","",$H37*$I37)</f>
        <v/>
      </c>
      <c r="O37" s="18" t="n">
        <v>46295</v>
      </c>
      <c r="P37" s="19" t="n">
        <f aca="false">SUMIF($B$8:$B$107,$O37,$J$8:$J$107)</f>
        <v>0</v>
      </c>
    </row>
    <row r="38" customFormat="false" ht="15" hidden="false" customHeight="false" outlineLevel="0" collapsed="false">
      <c r="A38" s="4" t="str">
        <f aca="false">IF($B38="","",ROW()-7)</f>
        <v/>
      </c>
      <c r="J38" s="9" t="str">
        <f aca="false">IF($H38="","",$H38*$I38)</f>
        <v/>
      </c>
      <c r="O38" s="20" t="s">
        <v>67</v>
      </c>
      <c r="P38" s="21" t="n">
        <f aca="false">SUM($P$8:$P$37)</f>
        <v>0</v>
      </c>
    </row>
    <row r="39" customFormat="false" ht="15" hidden="false" customHeight="false" outlineLevel="0" collapsed="false">
      <c r="A39" s="4" t="str">
        <f aca="false">IF($B39="","",ROW()-7)</f>
        <v/>
      </c>
      <c r="J39" s="9" t="str">
        <f aca="false">IF($H39="","",$H39*$I39)</f>
        <v/>
      </c>
    </row>
    <row r="40" customFormat="false" ht="15" hidden="false" customHeight="false" outlineLevel="0" collapsed="false">
      <c r="A40" s="4" t="str">
        <f aca="false">IF($B40="","",ROW()-7)</f>
        <v/>
      </c>
      <c r="J40" s="9" t="str">
        <f aca="false">IF($H40="","",$H40*$I40)</f>
        <v/>
      </c>
    </row>
    <row r="41" customFormat="false" ht="15" hidden="false" customHeight="false" outlineLevel="0" collapsed="false">
      <c r="A41" s="4" t="str">
        <f aca="false">IF($B41="","",ROW()-7)</f>
        <v/>
      </c>
      <c r="J41" s="9" t="str">
        <f aca="false">IF($H41="","",$H41*$I41)</f>
        <v/>
      </c>
    </row>
    <row r="42" customFormat="false" ht="15" hidden="false" customHeight="false" outlineLevel="0" collapsed="false">
      <c r="A42" s="4" t="str">
        <f aca="false">IF($B42="","",ROW()-7)</f>
        <v/>
      </c>
      <c r="J42" s="9" t="str">
        <f aca="false">IF($H42="","",$H42*$I42)</f>
        <v/>
      </c>
    </row>
    <row r="43" customFormat="false" ht="15" hidden="false" customHeight="false" outlineLevel="0" collapsed="false">
      <c r="A43" s="4" t="str">
        <f aca="false">IF($B43="","",ROW()-7)</f>
        <v/>
      </c>
      <c r="J43" s="9" t="str">
        <f aca="false">IF($H43="","",$H43*$I43)</f>
        <v/>
      </c>
    </row>
    <row r="44" customFormat="false" ht="15" hidden="false" customHeight="false" outlineLevel="0" collapsed="false">
      <c r="A44" s="4" t="str">
        <f aca="false">IF($B44="","",ROW()-7)</f>
        <v/>
      </c>
      <c r="J44" s="9" t="str">
        <f aca="false">IF($H44="","",$H44*$I44)</f>
        <v/>
      </c>
    </row>
    <row r="45" customFormat="false" ht="15" hidden="false" customHeight="false" outlineLevel="0" collapsed="false">
      <c r="A45" s="4" t="str">
        <f aca="false">IF($B45="","",ROW()-7)</f>
        <v/>
      </c>
      <c r="J45" s="9" t="str">
        <f aca="false">IF($H45="","",$H45*$I45)</f>
        <v/>
      </c>
    </row>
    <row r="46" customFormat="false" ht="15" hidden="false" customHeight="false" outlineLevel="0" collapsed="false">
      <c r="A46" s="4" t="str">
        <f aca="false">IF($B46="","",ROW()-7)</f>
        <v/>
      </c>
      <c r="J46" s="9" t="str">
        <f aca="false">IF($H46="","",$H46*$I46)</f>
        <v/>
      </c>
    </row>
    <row r="47" customFormat="false" ht="15" hidden="false" customHeight="false" outlineLevel="0" collapsed="false">
      <c r="A47" s="4" t="str">
        <f aca="false">IF($B47="","",ROW()-7)</f>
        <v/>
      </c>
      <c r="J47" s="9" t="str">
        <f aca="false">IF($H47="","",$H47*$I47)</f>
        <v/>
      </c>
    </row>
    <row r="48" customFormat="false" ht="15" hidden="false" customHeight="false" outlineLevel="0" collapsed="false">
      <c r="A48" s="4" t="str">
        <f aca="false">IF($B48="","",ROW()-7)</f>
        <v/>
      </c>
      <c r="J48" s="9" t="str">
        <f aca="false">IF($H48="","",$H48*$I48)</f>
        <v/>
      </c>
    </row>
    <row r="49" customFormat="false" ht="15" hidden="false" customHeight="false" outlineLevel="0" collapsed="false">
      <c r="A49" s="4" t="str">
        <f aca="false">IF($B49="","",ROW()-7)</f>
        <v/>
      </c>
      <c r="J49" s="9" t="str">
        <f aca="false">IF($H49="","",$H49*$I49)</f>
        <v/>
      </c>
    </row>
    <row r="50" customFormat="false" ht="15" hidden="false" customHeight="false" outlineLevel="0" collapsed="false">
      <c r="A50" s="4" t="str">
        <f aca="false">IF($B50="","",ROW()-7)</f>
        <v/>
      </c>
      <c r="J50" s="9" t="str">
        <f aca="false">IF($H50="","",$H50*$I50)</f>
        <v/>
      </c>
    </row>
    <row r="51" customFormat="false" ht="15" hidden="false" customHeight="false" outlineLevel="0" collapsed="false">
      <c r="A51" s="4" t="str">
        <f aca="false">IF($B51="","",ROW()-7)</f>
        <v/>
      </c>
      <c r="J51" s="9" t="str">
        <f aca="false">IF($H51="","",$H51*$I51)</f>
        <v/>
      </c>
    </row>
    <row r="52" customFormat="false" ht="15" hidden="false" customHeight="false" outlineLevel="0" collapsed="false">
      <c r="A52" s="4" t="str">
        <f aca="false">IF($B52="","",ROW()-7)</f>
        <v/>
      </c>
      <c r="J52" s="9" t="str">
        <f aca="false">IF($H52="","",$H52*$I52)</f>
        <v/>
      </c>
    </row>
    <row r="53" customFormat="false" ht="15" hidden="false" customHeight="false" outlineLevel="0" collapsed="false">
      <c r="A53" s="4" t="str">
        <f aca="false">IF($B53="","",ROW()-7)</f>
        <v/>
      </c>
      <c r="J53" s="9" t="str">
        <f aca="false">IF($H53="","",$H53*$I53)</f>
        <v/>
      </c>
    </row>
    <row r="54" customFormat="false" ht="15" hidden="false" customHeight="false" outlineLevel="0" collapsed="false">
      <c r="A54" s="4" t="str">
        <f aca="false">IF($B54="","",ROW()-7)</f>
        <v/>
      </c>
      <c r="J54" s="9" t="str">
        <f aca="false">IF($H54="","",$H54*$I54)</f>
        <v/>
      </c>
    </row>
    <row r="55" customFormat="false" ht="15" hidden="false" customHeight="false" outlineLevel="0" collapsed="false">
      <c r="A55" s="4" t="str">
        <f aca="false">IF($B55="","",ROW()-7)</f>
        <v/>
      </c>
      <c r="J55" s="9" t="str">
        <f aca="false">IF($H55="","",$H55*$I55)</f>
        <v/>
      </c>
    </row>
    <row r="56" customFormat="false" ht="15" hidden="false" customHeight="false" outlineLevel="0" collapsed="false">
      <c r="A56" s="4" t="str">
        <f aca="false">IF($B56="","",ROW()-7)</f>
        <v/>
      </c>
      <c r="J56" s="9" t="str">
        <f aca="false">IF($H56="","",$H56*$I56)</f>
        <v/>
      </c>
    </row>
    <row r="57" customFormat="false" ht="15" hidden="false" customHeight="false" outlineLevel="0" collapsed="false">
      <c r="A57" s="4" t="str">
        <f aca="false">IF($B57="","",ROW()-7)</f>
        <v/>
      </c>
      <c r="J57" s="9" t="str">
        <f aca="false">IF($H57="","",$H57*$I57)</f>
        <v/>
      </c>
    </row>
    <row r="58" customFormat="false" ht="15" hidden="false" customHeight="false" outlineLevel="0" collapsed="false">
      <c r="A58" s="4" t="str">
        <f aca="false">IF($B58="","",ROW()-7)</f>
        <v/>
      </c>
      <c r="J58" s="9" t="str">
        <f aca="false">IF($H58="","",$H58*$I58)</f>
        <v/>
      </c>
    </row>
    <row r="59" customFormat="false" ht="15" hidden="false" customHeight="false" outlineLevel="0" collapsed="false">
      <c r="A59" s="4" t="str">
        <f aca="false">IF($B59="","",ROW()-7)</f>
        <v/>
      </c>
      <c r="J59" s="9" t="str">
        <f aca="false">IF($H59="","",$H59*$I59)</f>
        <v/>
      </c>
    </row>
    <row r="60" customFormat="false" ht="15" hidden="false" customHeight="false" outlineLevel="0" collapsed="false">
      <c r="A60" s="4" t="str">
        <f aca="false">IF($B60="","",ROW()-7)</f>
        <v/>
      </c>
      <c r="J60" s="9" t="str">
        <f aca="false">IF($H60="","",$H60*$I60)</f>
        <v/>
      </c>
    </row>
    <row r="61" customFormat="false" ht="15" hidden="false" customHeight="false" outlineLevel="0" collapsed="false">
      <c r="A61" s="4" t="str">
        <f aca="false">IF($B61="","",ROW()-7)</f>
        <v/>
      </c>
      <c r="J61" s="9" t="str">
        <f aca="false">IF($H61="","",$H61*$I61)</f>
        <v/>
      </c>
    </row>
    <row r="62" customFormat="false" ht="15" hidden="false" customHeight="false" outlineLevel="0" collapsed="false">
      <c r="A62" s="4" t="str">
        <f aca="false">IF($B62="","",ROW()-7)</f>
        <v/>
      </c>
      <c r="J62" s="9" t="str">
        <f aca="false">IF($H62="","",$H62*$I62)</f>
        <v/>
      </c>
    </row>
    <row r="63" customFormat="false" ht="15" hidden="false" customHeight="false" outlineLevel="0" collapsed="false">
      <c r="A63" s="4" t="str">
        <f aca="false">IF($B63="","",ROW()-7)</f>
        <v/>
      </c>
      <c r="J63" s="9" t="str">
        <f aca="false">IF($H63="","",$H63*$I63)</f>
        <v/>
      </c>
    </row>
    <row r="64" customFormat="false" ht="15" hidden="false" customHeight="false" outlineLevel="0" collapsed="false">
      <c r="A64" s="4" t="str">
        <f aca="false">IF($B64="","",ROW()-7)</f>
        <v/>
      </c>
      <c r="J64" s="9" t="str">
        <f aca="false">IF($H64="","",$H64*$I64)</f>
        <v/>
      </c>
    </row>
    <row r="65" customFormat="false" ht="15" hidden="false" customHeight="false" outlineLevel="0" collapsed="false">
      <c r="A65" s="4" t="str">
        <f aca="false">IF($B65="","",ROW()-7)</f>
        <v/>
      </c>
      <c r="J65" s="9" t="str">
        <f aca="false">IF($H65="","",$H65*$I65)</f>
        <v/>
      </c>
    </row>
    <row r="66" customFormat="false" ht="15" hidden="false" customHeight="false" outlineLevel="0" collapsed="false">
      <c r="A66" s="4" t="str">
        <f aca="false">IF($B66="","",ROW()-7)</f>
        <v/>
      </c>
      <c r="J66" s="9" t="str">
        <f aca="false">IF($H66="","",$H66*$I66)</f>
        <v/>
      </c>
    </row>
    <row r="67" customFormat="false" ht="15" hidden="false" customHeight="false" outlineLevel="0" collapsed="false">
      <c r="A67" s="4" t="str">
        <f aca="false">IF($B67="","",ROW()-7)</f>
        <v/>
      </c>
      <c r="J67" s="9" t="str">
        <f aca="false">IF($H67="","",$H67*$I67)</f>
        <v/>
      </c>
    </row>
    <row r="68" customFormat="false" ht="15" hidden="false" customHeight="false" outlineLevel="0" collapsed="false">
      <c r="A68" s="4" t="str">
        <f aca="false">IF($B68="","",ROW()-7)</f>
        <v/>
      </c>
      <c r="J68" s="9" t="str">
        <f aca="false">IF($H68="","",$H68*$I68)</f>
        <v/>
      </c>
    </row>
    <row r="69" customFormat="false" ht="15" hidden="false" customHeight="false" outlineLevel="0" collapsed="false">
      <c r="A69" s="4" t="str">
        <f aca="false">IF($B69="","",ROW()-7)</f>
        <v/>
      </c>
      <c r="J69" s="9" t="str">
        <f aca="false">IF($H69="","",$H69*$I69)</f>
        <v/>
      </c>
    </row>
    <row r="70" customFormat="false" ht="15" hidden="false" customHeight="false" outlineLevel="0" collapsed="false">
      <c r="A70" s="4" t="str">
        <f aca="false">IF($B70="","",ROW()-7)</f>
        <v/>
      </c>
      <c r="J70" s="9" t="str">
        <f aca="false">IF($H70="","",$H70*$I70)</f>
        <v/>
      </c>
    </row>
    <row r="71" customFormat="false" ht="15" hidden="false" customHeight="false" outlineLevel="0" collapsed="false">
      <c r="A71" s="4" t="str">
        <f aca="false">IF($B71="","",ROW()-7)</f>
        <v/>
      </c>
      <c r="J71" s="9" t="str">
        <f aca="false">IF($H71="","",$H71*$I71)</f>
        <v/>
      </c>
    </row>
    <row r="72" customFormat="false" ht="15" hidden="false" customHeight="false" outlineLevel="0" collapsed="false">
      <c r="A72" s="4" t="str">
        <f aca="false">IF($B72="","",ROW()-7)</f>
        <v/>
      </c>
      <c r="J72" s="9" t="str">
        <f aca="false">IF($H72="","",$H72*$I72)</f>
        <v/>
      </c>
    </row>
    <row r="73" customFormat="false" ht="15" hidden="false" customHeight="false" outlineLevel="0" collapsed="false">
      <c r="A73" s="4" t="str">
        <f aca="false">IF($B73="","",ROW()-7)</f>
        <v/>
      </c>
      <c r="J73" s="9" t="str">
        <f aca="false">IF($H73="","",$H73*$I73)</f>
        <v/>
      </c>
    </row>
    <row r="74" customFormat="false" ht="15" hidden="false" customHeight="false" outlineLevel="0" collapsed="false">
      <c r="A74" s="4" t="str">
        <f aca="false">IF($B74="","",ROW()-7)</f>
        <v/>
      </c>
      <c r="J74" s="9" t="str">
        <f aca="false">IF($H74="","",$H74*$I74)</f>
        <v/>
      </c>
    </row>
    <row r="75" customFormat="false" ht="15" hidden="false" customHeight="false" outlineLevel="0" collapsed="false">
      <c r="A75" s="4" t="str">
        <f aca="false">IF($B75="","",ROW()-7)</f>
        <v/>
      </c>
      <c r="J75" s="9" t="str">
        <f aca="false">IF($H75="","",$H75*$I75)</f>
        <v/>
      </c>
    </row>
    <row r="76" customFormat="false" ht="15" hidden="false" customHeight="false" outlineLevel="0" collapsed="false">
      <c r="A76" s="4" t="str">
        <f aca="false">IF($B76="","",ROW()-7)</f>
        <v/>
      </c>
      <c r="J76" s="9" t="str">
        <f aca="false">IF($H76="","",$H76*$I76)</f>
        <v/>
      </c>
    </row>
    <row r="77" customFormat="false" ht="15" hidden="false" customHeight="false" outlineLevel="0" collapsed="false">
      <c r="A77" s="4" t="str">
        <f aca="false">IF($B77="","",ROW()-7)</f>
        <v/>
      </c>
      <c r="J77" s="9" t="str">
        <f aca="false">IF($H77="","",$H77*$I77)</f>
        <v/>
      </c>
    </row>
    <row r="78" customFormat="false" ht="15" hidden="false" customHeight="false" outlineLevel="0" collapsed="false">
      <c r="A78" s="4" t="str">
        <f aca="false">IF($B78="","",ROW()-7)</f>
        <v/>
      </c>
      <c r="J78" s="9" t="str">
        <f aca="false">IF($H78="","",$H78*$I78)</f>
        <v/>
      </c>
    </row>
    <row r="79" customFormat="false" ht="15" hidden="false" customHeight="false" outlineLevel="0" collapsed="false">
      <c r="A79" s="4" t="str">
        <f aca="false">IF($B79="","",ROW()-7)</f>
        <v/>
      </c>
      <c r="J79" s="9" t="str">
        <f aca="false">IF($H79="","",$H79*$I79)</f>
        <v/>
      </c>
    </row>
    <row r="80" customFormat="false" ht="15" hidden="false" customHeight="false" outlineLevel="0" collapsed="false">
      <c r="A80" s="4" t="str">
        <f aca="false">IF($B80="","",ROW()-7)</f>
        <v/>
      </c>
      <c r="J80" s="9" t="str">
        <f aca="false">IF($H80="","",$H80*$I80)</f>
        <v/>
      </c>
    </row>
    <row r="81" customFormat="false" ht="15" hidden="false" customHeight="false" outlineLevel="0" collapsed="false">
      <c r="A81" s="4" t="str">
        <f aca="false">IF($B81="","",ROW()-7)</f>
        <v/>
      </c>
      <c r="J81" s="9" t="str">
        <f aca="false">IF($H81="","",$H81*$I81)</f>
        <v/>
      </c>
    </row>
    <row r="82" customFormat="false" ht="15" hidden="false" customHeight="false" outlineLevel="0" collapsed="false">
      <c r="A82" s="4" t="str">
        <f aca="false">IF($B82="","",ROW()-7)</f>
        <v/>
      </c>
      <c r="J82" s="9" t="str">
        <f aca="false">IF($H82="","",$H82*$I82)</f>
        <v/>
      </c>
    </row>
    <row r="83" customFormat="false" ht="15" hidden="false" customHeight="false" outlineLevel="0" collapsed="false">
      <c r="A83" s="4" t="str">
        <f aca="false">IF($B83="","",ROW()-7)</f>
        <v/>
      </c>
      <c r="J83" s="9" t="str">
        <f aca="false">IF($H83="","",$H83*$I83)</f>
        <v/>
      </c>
    </row>
    <row r="84" customFormat="false" ht="15" hidden="false" customHeight="false" outlineLevel="0" collapsed="false">
      <c r="A84" s="4" t="str">
        <f aca="false">IF($B84="","",ROW()-7)</f>
        <v/>
      </c>
      <c r="J84" s="9" t="str">
        <f aca="false">IF($H84="","",$H84*$I84)</f>
        <v/>
      </c>
    </row>
    <row r="85" customFormat="false" ht="15" hidden="false" customHeight="false" outlineLevel="0" collapsed="false">
      <c r="A85" s="4" t="str">
        <f aca="false">IF($B85="","",ROW()-7)</f>
        <v/>
      </c>
      <c r="J85" s="9" t="str">
        <f aca="false">IF($H85="","",$H85*$I85)</f>
        <v/>
      </c>
    </row>
    <row r="86" customFormat="false" ht="15" hidden="false" customHeight="false" outlineLevel="0" collapsed="false">
      <c r="A86" s="4" t="str">
        <f aca="false">IF($B86="","",ROW()-7)</f>
        <v/>
      </c>
      <c r="J86" s="9" t="str">
        <f aca="false">IF($H86="","",$H86*$I86)</f>
        <v/>
      </c>
    </row>
    <row r="87" customFormat="false" ht="15" hidden="false" customHeight="false" outlineLevel="0" collapsed="false">
      <c r="A87" s="4" t="str">
        <f aca="false">IF($B87="","",ROW()-7)</f>
        <v/>
      </c>
      <c r="J87" s="9" t="str">
        <f aca="false">IF($H87="","",$H87*$I87)</f>
        <v/>
      </c>
    </row>
    <row r="88" customFormat="false" ht="15" hidden="false" customHeight="false" outlineLevel="0" collapsed="false">
      <c r="A88" s="4" t="str">
        <f aca="false">IF($B88="","",ROW()-7)</f>
        <v/>
      </c>
      <c r="J88" s="9" t="str">
        <f aca="false">IF($H88="","",$H88*$I88)</f>
        <v/>
      </c>
    </row>
    <row r="89" customFormat="false" ht="15" hidden="false" customHeight="false" outlineLevel="0" collapsed="false">
      <c r="A89" s="4" t="str">
        <f aca="false">IF($B89="","",ROW()-7)</f>
        <v/>
      </c>
      <c r="J89" s="9" t="str">
        <f aca="false">IF($H89="","",$H89*$I89)</f>
        <v/>
      </c>
    </row>
    <row r="90" customFormat="false" ht="15" hidden="false" customHeight="false" outlineLevel="0" collapsed="false">
      <c r="A90" s="4" t="str">
        <f aca="false">IF($B90="","",ROW()-7)</f>
        <v/>
      </c>
      <c r="J90" s="9" t="str">
        <f aca="false">IF($H90="","",$H90*$I90)</f>
        <v/>
      </c>
    </row>
    <row r="91" customFormat="false" ht="15" hidden="false" customHeight="false" outlineLevel="0" collapsed="false">
      <c r="A91" s="4" t="str">
        <f aca="false">IF($B91="","",ROW()-7)</f>
        <v/>
      </c>
      <c r="J91" s="9" t="str">
        <f aca="false">IF($H91="","",$H91*$I91)</f>
        <v/>
      </c>
    </row>
    <row r="92" customFormat="false" ht="15" hidden="false" customHeight="false" outlineLevel="0" collapsed="false">
      <c r="A92" s="4" t="str">
        <f aca="false">IF($B92="","",ROW()-7)</f>
        <v/>
      </c>
      <c r="J92" s="9" t="str">
        <f aca="false">IF($H92="","",$H92*$I92)</f>
        <v/>
      </c>
    </row>
    <row r="93" customFormat="false" ht="15" hidden="false" customHeight="false" outlineLevel="0" collapsed="false">
      <c r="A93" s="4" t="str">
        <f aca="false">IF($B93="","",ROW()-7)</f>
        <v/>
      </c>
      <c r="J93" s="9" t="str">
        <f aca="false">IF($H93="","",$H93*$I93)</f>
        <v/>
      </c>
    </row>
    <row r="94" customFormat="false" ht="15" hidden="false" customHeight="false" outlineLevel="0" collapsed="false">
      <c r="A94" s="4" t="str">
        <f aca="false">IF($B94="","",ROW()-7)</f>
        <v/>
      </c>
      <c r="J94" s="9" t="str">
        <f aca="false">IF($H94="","",$H94*$I94)</f>
        <v/>
      </c>
    </row>
    <row r="95" customFormat="false" ht="15" hidden="false" customHeight="false" outlineLevel="0" collapsed="false">
      <c r="A95" s="4" t="str">
        <f aca="false">IF($B95="","",ROW()-7)</f>
        <v/>
      </c>
      <c r="J95" s="9" t="str">
        <f aca="false">IF($H95="","",$H95*$I95)</f>
        <v/>
      </c>
    </row>
    <row r="96" customFormat="false" ht="15" hidden="false" customHeight="false" outlineLevel="0" collapsed="false">
      <c r="A96" s="4" t="str">
        <f aca="false">IF($B96="","",ROW()-7)</f>
        <v/>
      </c>
      <c r="J96" s="9" t="str">
        <f aca="false">IF($H96="","",$H96*$I96)</f>
        <v/>
      </c>
    </row>
    <row r="97" customFormat="false" ht="15" hidden="false" customHeight="false" outlineLevel="0" collapsed="false">
      <c r="A97" s="4" t="str">
        <f aca="false">IF($B97="","",ROW()-7)</f>
        <v/>
      </c>
      <c r="J97" s="9" t="str">
        <f aca="false">IF($H97="","",$H97*$I97)</f>
        <v/>
      </c>
    </row>
    <row r="98" customFormat="false" ht="15" hidden="false" customHeight="false" outlineLevel="0" collapsed="false">
      <c r="A98" s="4" t="str">
        <f aca="false">IF($B98="","",ROW()-7)</f>
        <v/>
      </c>
      <c r="J98" s="9" t="str">
        <f aca="false">IF($H98="","",$H98*$I98)</f>
        <v/>
      </c>
    </row>
    <row r="99" customFormat="false" ht="15" hidden="false" customHeight="false" outlineLevel="0" collapsed="false">
      <c r="A99" s="4" t="str">
        <f aca="false">IF($B99="","",ROW()-7)</f>
        <v/>
      </c>
      <c r="J99" s="9" t="str">
        <f aca="false">IF($H99="","",$H99*$I99)</f>
        <v/>
      </c>
    </row>
    <row r="100" customFormat="false" ht="15" hidden="false" customHeight="false" outlineLevel="0" collapsed="false">
      <c r="A100" s="4" t="str">
        <f aca="false">IF($B100="","",ROW()-7)</f>
        <v/>
      </c>
      <c r="J100" s="9" t="str">
        <f aca="false">IF($H100="","",$H100*$I100)</f>
        <v/>
      </c>
    </row>
    <row r="101" customFormat="false" ht="15" hidden="false" customHeight="false" outlineLevel="0" collapsed="false">
      <c r="A101" s="4" t="str">
        <f aca="false">IF($B101="","",ROW()-7)</f>
        <v/>
      </c>
      <c r="J101" s="9" t="str">
        <f aca="false">IF($H101="","",$H101*$I101)</f>
        <v/>
      </c>
    </row>
    <row r="102" customFormat="false" ht="15" hidden="false" customHeight="false" outlineLevel="0" collapsed="false">
      <c r="A102" s="4" t="str">
        <f aca="false">IF($B102="","",ROW()-7)</f>
        <v/>
      </c>
      <c r="J102" s="9" t="str">
        <f aca="false">IF($H102="","",$H102*$I102)</f>
        <v/>
      </c>
    </row>
    <row r="103" customFormat="false" ht="15" hidden="false" customHeight="false" outlineLevel="0" collapsed="false">
      <c r="A103" s="4" t="str">
        <f aca="false">IF($B103="","",ROW()-7)</f>
        <v/>
      </c>
      <c r="J103" s="9" t="str">
        <f aca="false">IF($H103="","",$H103*$I103)</f>
        <v/>
      </c>
    </row>
    <row r="104" customFormat="false" ht="15" hidden="false" customHeight="false" outlineLevel="0" collapsed="false">
      <c r="A104" s="4" t="str">
        <f aca="false">IF($B104="","",ROW()-7)</f>
        <v/>
      </c>
      <c r="J104" s="9" t="str">
        <f aca="false">IF($H104="","",$H104*$I104)</f>
        <v/>
      </c>
    </row>
    <row r="105" customFormat="false" ht="15" hidden="false" customHeight="false" outlineLevel="0" collapsed="false">
      <c r="A105" s="4" t="str">
        <f aca="false">IF($B105="","",ROW()-7)</f>
        <v/>
      </c>
      <c r="J105" s="9" t="str">
        <f aca="false">IF($H105="","",$H105*$I105)</f>
        <v/>
      </c>
    </row>
    <row r="106" customFormat="false" ht="15" hidden="false" customHeight="false" outlineLevel="0" collapsed="false">
      <c r="A106" s="4" t="str">
        <f aca="false">IF($B106="","",ROW()-7)</f>
        <v/>
      </c>
      <c r="J106" s="9" t="str">
        <f aca="false">IF($H106="","",$H106*$I106)</f>
        <v/>
      </c>
    </row>
    <row r="107" customFormat="false" ht="15" hidden="false" customHeight="false" outlineLevel="0" collapsed="false">
      <c r="A107" s="4" t="str">
        <f aca="false">IF($B107="","",ROW()-7)</f>
        <v/>
      </c>
      <c r="J107" s="9" t="str">
        <f aca="false">IF($H107="","",$H107*$I107)</f>
        <v/>
      </c>
    </row>
  </sheetData>
  <mergeCells count="5">
    <mergeCell ref="A1:M1"/>
    <mergeCell ref="B3:C3"/>
    <mergeCell ref="B4:C4"/>
    <mergeCell ref="B5:C5"/>
    <mergeCell ref="O6:P6"/>
  </mergeCells>
  <conditionalFormatting sqref="L8:L107">
    <cfRule type="cellIs" priority="2" operator="equal" aboveAverage="0" equalAverage="0" bottom="0" percent="0" rank="0" text="" dxfId="0">
      <formula>"Đã chuyển khoản"</formula>
    </cfRule>
    <cfRule type="cellIs" priority="3" operator="equal" aboveAverage="0" equalAverage="0" bottom="0" percent="0" rank="0" text="" dxfId="1">
      <formula>"Chưa chuyển khoản"</formula>
    </cfRule>
  </conditionalFormatting>
  <dataValidations count="1">
    <dataValidation allowBlank="true" error="Chọn: Đã chuyển khoản hoặc Chưa chuyển khoản" errorStyle="stop" operator="between" showDropDown="false" showErrorMessage="false" showInputMessage="false" sqref="L8:L107" type="list">
      <formula1>"Đã chuyển khoản,Chưa chuyển khoản"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4" width="5"/>
    <col collapsed="false" customWidth="true" hidden="false" outlineLevel="0" max="2" min="2" style="5" width="12"/>
    <col collapsed="false" customWidth="true" hidden="false" outlineLevel="0" max="3" min="3" style="6" width="20"/>
    <col collapsed="false" customWidth="true" hidden="false" outlineLevel="0" max="4" min="4" style="6" width="26"/>
    <col collapsed="false" customWidth="true" hidden="false" outlineLevel="0" max="6" min="5" style="7" width="14"/>
    <col collapsed="false" customWidth="true" hidden="false" outlineLevel="0" max="7" min="7" style="6" width="24"/>
    <col collapsed="false" customWidth="true" hidden="false" outlineLevel="0" max="8" min="8" style="8" width="10"/>
    <col collapsed="false" customWidth="true" hidden="false" outlineLevel="0" max="9" min="9" style="9" width="12"/>
    <col collapsed="false" customWidth="true" hidden="false" outlineLevel="0" max="10" min="10" style="9" width="14"/>
    <col collapsed="false" customWidth="true" hidden="false" outlineLevel="0" max="11" min="11" style="4" width="18"/>
    <col collapsed="false" customWidth="true" hidden="false" outlineLevel="0" max="12" min="12" style="4" width="20"/>
    <col collapsed="false" customWidth="true" hidden="false" outlineLevel="0" max="13" min="13" style="6" width="18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25.5" hidden="false" customHeight="true" outlineLevel="0" collapsed="false">
      <c r="A1" s="10" t="s">
        <v>70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customFormat="false" ht="15" hidden="false" customHeight="true" outlineLevel="0" collapsed="false">
      <c r="B3" s="11" t="s">
        <v>27</v>
      </c>
      <c r="C3" s="11"/>
      <c r="D3" s="12" t="n">
        <f aca="false">SUM($J$8:$J$107)</f>
        <v>0</v>
      </c>
    </row>
    <row r="4" customFormat="false" ht="15" hidden="false" customHeight="true" outlineLevel="0" collapsed="false">
      <c r="B4" s="11" t="s">
        <v>28</v>
      </c>
      <c r="C4" s="11"/>
      <c r="D4" s="12" t="n">
        <f aca="false">SUMIF($L$8:$L$107,"Đã chuyển khoản",$J$8:$J$107)</f>
        <v>0</v>
      </c>
    </row>
    <row r="5" customFormat="false" ht="15" hidden="false" customHeight="true" outlineLevel="0" collapsed="false">
      <c r="B5" s="11" t="s">
        <v>29</v>
      </c>
      <c r="C5" s="11"/>
      <c r="D5" s="12" t="n">
        <f aca="false">SUMIF($L$8:$L$107,"Chưa chuyển khoản",$J$8:$J$107)</f>
        <v>0</v>
      </c>
    </row>
    <row r="6" customFormat="false" ht="15" hidden="false" customHeight="true" outlineLevel="0" collapsed="false">
      <c r="O6" s="13" t="s">
        <v>30</v>
      </c>
      <c r="P6" s="13"/>
    </row>
    <row r="7" customFormat="false" ht="30" hidden="false" customHeight="true" outlineLevel="0" collapsed="false">
      <c r="A7" s="14" t="s">
        <v>31</v>
      </c>
      <c r="B7" s="14" t="s">
        <v>32</v>
      </c>
      <c r="C7" s="14" t="s">
        <v>33</v>
      </c>
      <c r="D7" s="14" t="s">
        <v>34</v>
      </c>
      <c r="E7" s="14" t="s">
        <v>35</v>
      </c>
      <c r="F7" s="14" t="s">
        <v>36</v>
      </c>
      <c r="G7" s="14" t="s">
        <v>37</v>
      </c>
      <c r="H7" s="14" t="s">
        <v>38</v>
      </c>
      <c r="I7" s="14" t="s">
        <v>39</v>
      </c>
      <c r="J7" s="14" t="s">
        <v>40</v>
      </c>
      <c r="K7" s="14" t="s">
        <v>41</v>
      </c>
      <c r="L7" s="14" t="s">
        <v>42</v>
      </c>
      <c r="M7" s="14" t="s">
        <v>43</v>
      </c>
      <c r="O7" s="14" t="s">
        <v>44</v>
      </c>
      <c r="P7" s="14" t="s">
        <v>45</v>
      </c>
    </row>
    <row r="8" customFormat="false" ht="15" hidden="false" customHeight="false" outlineLevel="0" collapsed="false">
      <c r="A8" s="4" t="str">
        <f aca="false">IF($B8="","",ROW()-7)</f>
        <v/>
      </c>
      <c r="J8" s="9" t="str">
        <f aca="false">IF($H8="","",$H8*$I8)</f>
        <v/>
      </c>
      <c r="O8" s="18" t="n">
        <v>46296</v>
      </c>
      <c r="P8" s="19" t="n">
        <f aca="false">SUMIF($B$8:$B$107,$O8,$J$8:$J$107)</f>
        <v>0</v>
      </c>
    </row>
    <row r="9" customFormat="false" ht="15" hidden="false" customHeight="false" outlineLevel="0" collapsed="false">
      <c r="A9" s="4" t="str">
        <f aca="false">IF($B9="","",ROW()-7)</f>
        <v/>
      </c>
      <c r="J9" s="9" t="str">
        <f aca="false">IF($H9="","",$H9*$I9)</f>
        <v/>
      </c>
      <c r="O9" s="18" t="n">
        <v>46297</v>
      </c>
      <c r="P9" s="19" t="n">
        <f aca="false">SUMIF($B$8:$B$107,$O9,$J$8:$J$107)</f>
        <v>0</v>
      </c>
    </row>
    <row r="10" customFormat="false" ht="15" hidden="false" customHeight="false" outlineLevel="0" collapsed="false">
      <c r="A10" s="4" t="str">
        <f aca="false">IF($B10="","",ROW()-7)</f>
        <v/>
      </c>
      <c r="J10" s="9" t="str">
        <f aca="false">IF($H10="","",$H10*$I10)</f>
        <v/>
      </c>
      <c r="O10" s="18" t="n">
        <v>46298</v>
      </c>
      <c r="P10" s="19" t="n">
        <f aca="false">SUMIF($B$8:$B$107,$O10,$J$8:$J$107)</f>
        <v>0</v>
      </c>
    </row>
    <row r="11" customFormat="false" ht="15" hidden="false" customHeight="false" outlineLevel="0" collapsed="false">
      <c r="A11" s="4" t="str">
        <f aca="false">IF($B11="","",ROW()-7)</f>
        <v/>
      </c>
      <c r="J11" s="9" t="str">
        <f aca="false">IF($H11="","",$H11*$I11)</f>
        <v/>
      </c>
      <c r="O11" s="18" t="n">
        <v>46299</v>
      </c>
      <c r="P11" s="19" t="n">
        <f aca="false">SUMIF($B$8:$B$107,$O11,$J$8:$J$107)</f>
        <v>0</v>
      </c>
    </row>
    <row r="12" customFormat="false" ht="15" hidden="false" customHeight="false" outlineLevel="0" collapsed="false">
      <c r="A12" s="4" t="str">
        <f aca="false">IF($B12="","",ROW()-7)</f>
        <v/>
      </c>
      <c r="J12" s="9" t="str">
        <f aca="false">IF($H12="","",$H12*$I12)</f>
        <v/>
      </c>
      <c r="O12" s="18" t="n">
        <v>46300</v>
      </c>
      <c r="P12" s="19" t="n">
        <f aca="false">SUMIF($B$8:$B$107,$O12,$J$8:$J$107)</f>
        <v>0</v>
      </c>
    </row>
    <row r="13" customFormat="false" ht="15" hidden="false" customHeight="false" outlineLevel="0" collapsed="false">
      <c r="A13" s="4" t="str">
        <f aca="false">IF($B13="","",ROW()-7)</f>
        <v/>
      </c>
      <c r="J13" s="9" t="str">
        <f aca="false">IF($H13="","",$H13*$I13)</f>
        <v/>
      </c>
      <c r="O13" s="18" t="n">
        <v>46301</v>
      </c>
      <c r="P13" s="19" t="n">
        <f aca="false">SUMIF($B$8:$B$107,$O13,$J$8:$J$107)</f>
        <v>0</v>
      </c>
    </row>
    <row r="14" customFormat="false" ht="15" hidden="false" customHeight="false" outlineLevel="0" collapsed="false">
      <c r="A14" s="4" t="str">
        <f aca="false">IF($B14="","",ROW()-7)</f>
        <v/>
      </c>
      <c r="J14" s="9" t="str">
        <f aca="false">IF($H14="","",$H14*$I14)</f>
        <v/>
      </c>
      <c r="O14" s="18" t="n">
        <v>46302</v>
      </c>
      <c r="P14" s="19" t="n">
        <f aca="false">SUMIF($B$8:$B$107,$O14,$J$8:$J$107)</f>
        <v>0</v>
      </c>
    </row>
    <row r="15" customFormat="false" ht="15" hidden="false" customHeight="false" outlineLevel="0" collapsed="false">
      <c r="A15" s="4" t="str">
        <f aca="false">IF($B15="","",ROW()-7)</f>
        <v/>
      </c>
      <c r="J15" s="9" t="str">
        <f aca="false">IF($H15="","",$H15*$I15)</f>
        <v/>
      </c>
      <c r="O15" s="18" t="n">
        <v>46303</v>
      </c>
      <c r="P15" s="19" t="n">
        <f aca="false">SUMIF($B$8:$B$107,$O15,$J$8:$J$107)</f>
        <v>0</v>
      </c>
    </row>
    <row r="16" customFormat="false" ht="15" hidden="false" customHeight="false" outlineLevel="0" collapsed="false">
      <c r="A16" s="4" t="str">
        <f aca="false">IF($B16="","",ROW()-7)</f>
        <v/>
      </c>
      <c r="J16" s="9" t="str">
        <f aca="false">IF($H16="","",$H16*$I16)</f>
        <v/>
      </c>
      <c r="O16" s="18" t="n">
        <v>46304</v>
      </c>
      <c r="P16" s="19" t="n">
        <f aca="false">SUMIF($B$8:$B$107,$O16,$J$8:$J$107)</f>
        <v>0</v>
      </c>
    </row>
    <row r="17" customFormat="false" ht="15" hidden="false" customHeight="false" outlineLevel="0" collapsed="false">
      <c r="A17" s="4" t="str">
        <f aca="false">IF($B17="","",ROW()-7)</f>
        <v/>
      </c>
      <c r="J17" s="9" t="str">
        <f aca="false">IF($H17="","",$H17*$I17)</f>
        <v/>
      </c>
      <c r="O17" s="18" t="n">
        <v>46305</v>
      </c>
      <c r="P17" s="19" t="n">
        <f aca="false">SUMIF($B$8:$B$107,$O17,$J$8:$J$107)</f>
        <v>0</v>
      </c>
    </row>
    <row r="18" customFormat="false" ht="15" hidden="false" customHeight="false" outlineLevel="0" collapsed="false">
      <c r="A18" s="4" t="str">
        <f aca="false">IF($B18="","",ROW()-7)</f>
        <v/>
      </c>
      <c r="J18" s="9" t="str">
        <f aca="false">IF($H18="","",$H18*$I18)</f>
        <v/>
      </c>
      <c r="O18" s="18" t="n">
        <v>46306</v>
      </c>
      <c r="P18" s="19" t="n">
        <f aca="false">SUMIF($B$8:$B$107,$O18,$J$8:$J$107)</f>
        <v>0</v>
      </c>
    </row>
    <row r="19" customFormat="false" ht="15" hidden="false" customHeight="false" outlineLevel="0" collapsed="false">
      <c r="A19" s="4" t="str">
        <f aca="false">IF($B19="","",ROW()-7)</f>
        <v/>
      </c>
      <c r="J19" s="9" t="str">
        <f aca="false">IF($H19="","",$H19*$I19)</f>
        <v/>
      </c>
      <c r="O19" s="18" t="n">
        <v>46307</v>
      </c>
      <c r="P19" s="19" t="n">
        <f aca="false">SUMIF($B$8:$B$107,$O19,$J$8:$J$107)</f>
        <v>0</v>
      </c>
    </row>
    <row r="20" customFormat="false" ht="15" hidden="false" customHeight="false" outlineLevel="0" collapsed="false">
      <c r="A20" s="4" t="str">
        <f aca="false">IF($B20="","",ROW()-7)</f>
        <v/>
      </c>
      <c r="J20" s="9" t="str">
        <f aca="false">IF($H20="","",$H20*$I20)</f>
        <v/>
      </c>
      <c r="O20" s="18" t="n">
        <v>46308</v>
      </c>
      <c r="P20" s="19" t="n">
        <f aca="false">SUMIF($B$8:$B$107,$O20,$J$8:$J$107)</f>
        <v>0</v>
      </c>
    </row>
    <row r="21" customFormat="false" ht="15" hidden="false" customHeight="false" outlineLevel="0" collapsed="false">
      <c r="A21" s="4" t="str">
        <f aca="false">IF($B21="","",ROW()-7)</f>
        <v/>
      </c>
      <c r="J21" s="9" t="str">
        <f aca="false">IF($H21="","",$H21*$I21)</f>
        <v/>
      </c>
      <c r="O21" s="18" t="n">
        <v>46309</v>
      </c>
      <c r="P21" s="19" t="n">
        <f aca="false">SUMIF($B$8:$B$107,$O21,$J$8:$J$107)</f>
        <v>0</v>
      </c>
    </row>
    <row r="22" customFormat="false" ht="15" hidden="false" customHeight="false" outlineLevel="0" collapsed="false">
      <c r="A22" s="4" t="str">
        <f aca="false">IF($B22="","",ROW()-7)</f>
        <v/>
      </c>
      <c r="J22" s="9" t="str">
        <f aca="false">IF($H22="","",$H22*$I22)</f>
        <v/>
      </c>
      <c r="O22" s="18" t="n">
        <v>46310</v>
      </c>
      <c r="P22" s="19" t="n">
        <f aca="false">SUMIF($B$8:$B$107,$O22,$J$8:$J$107)</f>
        <v>0</v>
      </c>
    </row>
    <row r="23" customFormat="false" ht="15" hidden="false" customHeight="false" outlineLevel="0" collapsed="false">
      <c r="A23" s="4" t="str">
        <f aca="false">IF($B23="","",ROW()-7)</f>
        <v/>
      </c>
      <c r="J23" s="9" t="str">
        <f aca="false">IF($H23="","",$H23*$I23)</f>
        <v/>
      </c>
      <c r="O23" s="18" t="n">
        <v>46311</v>
      </c>
      <c r="P23" s="19" t="n">
        <f aca="false">SUMIF($B$8:$B$107,$O23,$J$8:$J$107)</f>
        <v>0</v>
      </c>
    </row>
    <row r="24" customFormat="false" ht="15" hidden="false" customHeight="false" outlineLevel="0" collapsed="false">
      <c r="A24" s="4" t="str">
        <f aca="false">IF($B24="","",ROW()-7)</f>
        <v/>
      </c>
      <c r="J24" s="9" t="str">
        <f aca="false">IF($H24="","",$H24*$I24)</f>
        <v/>
      </c>
      <c r="O24" s="18" t="n">
        <v>46312</v>
      </c>
      <c r="P24" s="19" t="n">
        <f aca="false">SUMIF($B$8:$B$107,$O24,$J$8:$J$107)</f>
        <v>0</v>
      </c>
    </row>
    <row r="25" customFormat="false" ht="15" hidden="false" customHeight="false" outlineLevel="0" collapsed="false">
      <c r="A25" s="4" t="str">
        <f aca="false">IF($B25="","",ROW()-7)</f>
        <v/>
      </c>
      <c r="J25" s="9" t="str">
        <f aca="false">IF($H25="","",$H25*$I25)</f>
        <v/>
      </c>
      <c r="O25" s="18" t="n">
        <v>46313</v>
      </c>
      <c r="P25" s="19" t="n">
        <f aca="false">SUMIF($B$8:$B$107,$O25,$J$8:$J$107)</f>
        <v>0</v>
      </c>
    </row>
    <row r="26" customFormat="false" ht="15" hidden="false" customHeight="false" outlineLevel="0" collapsed="false">
      <c r="A26" s="4" t="str">
        <f aca="false">IF($B26="","",ROW()-7)</f>
        <v/>
      </c>
      <c r="J26" s="9" t="str">
        <f aca="false">IF($H26="","",$H26*$I26)</f>
        <v/>
      </c>
      <c r="O26" s="18" t="n">
        <v>46314</v>
      </c>
      <c r="P26" s="19" t="n">
        <f aca="false">SUMIF($B$8:$B$107,$O26,$J$8:$J$107)</f>
        <v>0</v>
      </c>
    </row>
    <row r="27" customFormat="false" ht="15" hidden="false" customHeight="false" outlineLevel="0" collapsed="false">
      <c r="A27" s="4" t="str">
        <f aca="false">IF($B27="","",ROW()-7)</f>
        <v/>
      </c>
      <c r="J27" s="9" t="str">
        <f aca="false">IF($H27="","",$H27*$I27)</f>
        <v/>
      </c>
      <c r="O27" s="18" t="n">
        <v>46315</v>
      </c>
      <c r="P27" s="19" t="n">
        <f aca="false">SUMIF($B$8:$B$107,$O27,$J$8:$J$107)</f>
        <v>0</v>
      </c>
    </row>
    <row r="28" customFormat="false" ht="15" hidden="false" customHeight="false" outlineLevel="0" collapsed="false">
      <c r="A28" s="4" t="str">
        <f aca="false">IF($B28="","",ROW()-7)</f>
        <v/>
      </c>
      <c r="J28" s="9" t="str">
        <f aca="false">IF($H28="","",$H28*$I28)</f>
        <v/>
      </c>
      <c r="O28" s="18" t="n">
        <v>46316</v>
      </c>
      <c r="P28" s="19" t="n">
        <f aca="false">SUMIF($B$8:$B$107,$O28,$J$8:$J$107)</f>
        <v>0</v>
      </c>
    </row>
    <row r="29" customFormat="false" ht="15" hidden="false" customHeight="false" outlineLevel="0" collapsed="false">
      <c r="A29" s="4" t="str">
        <f aca="false">IF($B29="","",ROW()-7)</f>
        <v/>
      </c>
      <c r="J29" s="9" t="str">
        <f aca="false">IF($H29="","",$H29*$I29)</f>
        <v/>
      </c>
      <c r="O29" s="18" t="n">
        <v>46317</v>
      </c>
      <c r="P29" s="19" t="n">
        <f aca="false">SUMIF($B$8:$B$107,$O29,$J$8:$J$107)</f>
        <v>0</v>
      </c>
    </row>
    <row r="30" customFormat="false" ht="15" hidden="false" customHeight="false" outlineLevel="0" collapsed="false">
      <c r="A30" s="4" t="str">
        <f aca="false">IF($B30="","",ROW()-7)</f>
        <v/>
      </c>
      <c r="J30" s="9" t="str">
        <f aca="false">IF($H30="","",$H30*$I30)</f>
        <v/>
      </c>
      <c r="O30" s="18" t="n">
        <v>46318</v>
      </c>
      <c r="P30" s="19" t="n">
        <f aca="false">SUMIF($B$8:$B$107,$O30,$J$8:$J$107)</f>
        <v>0</v>
      </c>
    </row>
    <row r="31" customFormat="false" ht="15" hidden="false" customHeight="false" outlineLevel="0" collapsed="false">
      <c r="A31" s="4" t="str">
        <f aca="false">IF($B31="","",ROW()-7)</f>
        <v/>
      </c>
      <c r="J31" s="9" t="str">
        <f aca="false">IF($H31="","",$H31*$I31)</f>
        <v/>
      </c>
      <c r="O31" s="18" t="n">
        <v>46319</v>
      </c>
      <c r="P31" s="19" t="n">
        <f aca="false">SUMIF($B$8:$B$107,$O31,$J$8:$J$107)</f>
        <v>0</v>
      </c>
    </row>
    <row r="32" customFormat="false" ht="15" hidden="false" customHeight="false" outlineLevel="0" collapsed="false">
      <c r="A32" s="4" t="str">
        <f aca="false">IF($B32="","",ROW()-7)</f>
        <v/>
      </c>
      <c r="J32" s="9" t="str">
        <f aca="false">IF($H32="","",$H32*$I32)</f>
        <v/>
      </c>
      <c r="O32" s="18" t="n">
        <v>46320</v>
      </c>
      <c r="P32" s="19" t="n">
        <f aca="false">SUMIF($B$8:$B$107,$O32,$J$8:$J$107)</f>
        <v>0</v>
      </c>
    </row>
    <row r="33" customFormat="false" ht="15" hidden="false" customHeight="false" outlineLevel="0" collapsed="false">
      <c r="A33" s="4" t="str">
        <f aca="false">IF($B33="","",ROW()-7)</f>
        <v/>
      </c>
      <c r="J33" s="9" t="str">
        <f aca="false">IF($H33="","",$H33*$I33)</f>
        <v/>
      </c>
      <c r="O33" s="18" t="n">
        <v>46321</v>
      </c>
      <c r="P33" s="19" t="n">
        <f aca="false">SUMIF($B$8:$B$107,$O33,$J$8:$J$107)</f>
        <v>0</v>
      </c>
    </row>
    <row r="34" customFormat="false" ht="15" hidden="false" customHeight="false" outlineLevel="0" collapsed="false">
      <c r="A34" s="4" t="str">
        <f aca="false">IF($B34="","",ROW()-7)</f>
        <v/>
      </c>
      <c r="J34" s="9" t="str">
        <f aca="false">IF($H34="","",$H34*$I34)</f>
        <v/>
      </c>
      <c r="O34" s="18" t="n">
        <v>46322</v>
      </c>
      <c r="P34" s="19" t="n">
        <f aca="false">SUMIF($B$8:$B$107,$O34,$J$8:$J$107)</f>
        <v>0</v>
      </c>
    </row>
    <row r="35" customFormat="false" ht="15" hidden="false" customHeight="false" outlineLevel="0" collapsed="false">
      <c r="A35" s="4" t="str">
        <f aca="false">IF($B35="","",ROW()-7)</f>
        <v/>
      </c>
      <c r="J35" s="9" t="str">
        <f aca="false">IF($H35="","",$H35*$I35)</f>
        <v/>
      </c>
      <c r="O35" s="18" t="n">
        <v>46323</v>
      </c>
      <c r="P35" s="19" t="n">
        <f aca="false">SUMIF($B$8:$B$107,$O35,$J$8:$J$107)</f>
        <v>0</v>
      </c>
    </row>
    <row r="36" customFormat="false" ht="15" hidden="false" customHeight="false" outlineLevel="0" collapsed="false">
      <c r="A36" s="4" t="str">
        <f aca="false">IF($B36="","",ROW()-7)</f>
        <v/>
      </c>
      <c r="J36" s="9" t="str">
        <f aca="false">IF($H36="","",$H36*$I36)</f>
        <v/>
      </c>
      <c r="O36" s="18" t="n">
        <v>46324</v>
      </c>
      <c r="P36" s="19" t="n">
        <f aca="false">SUMIF($B$8:$B$107,$O36,$J$8:$J$107)</f>
        <v>0</v>
      </c>
    </row>
    <row r="37" customFormat="false" ht="15" hidden="false" customHeight="false" outlineLevel="0" collapsed="false">
      <c r="A37" s="4" t="str">
        <f aca="false">IF($B37="","",ROW()-7)</f>
        <v/>
      </c>
      <c r="J37" s="9" t="str">
        <f aca="false">IF($H37="","",$H37*$I37)</f>
        <v/>
      </c>
      <c r="O37" s="18" t="n">
        <v>46325</v>
      </c>
      <c r="P37" s="19" t="n">
        <f aca="false">SUMIF($B$8:$B$107,$O37,$J$8:$J$107)</f>
        <v>0</v>
      </c>
    </row>
    <row r="38" customFormat="false" ht="15" hidden="false" customHeight="false" outlineLevel="0" collapsed="false">
      <c r="A38" s="4" t="str">
        <f aca="false">IF($B38="","",ROW()-7)</f>
        <v/>
      </c>
      <c r="J38" s="9" t="str">
        <f aca="false">IF($H38="","",$H38*$I38)</f>
        <v/>
      </c>
      <c r="O38" s="18" t="n">
        <v>46326</v>
      </c>
      <c r="P38" s="19" t="n">
        <f aca="false">SUMIF($B$8:$B$107,$O38,$J$8:$J$107)</f>
        <v>0</v>
      </c>
    </row>
    <row r="39" customFormat="false" ht="15" hidden="false" customHeight="false" outlineLevel="0" collapsed="false">
      <c r="A39" s="4" t="str">
        <f aca="false">IF($B39="","",ROW()-7)</f>
        <v/>
      </c>
      <c r="J39" s="9" t="str">
        <f aca="false">IF($H39="","",$H39*$I39)</f>
        <v/>
      </c>
      <c r="O39" s="20" t="s">
        <v>67</v>
      </c>
      <c r="P39" s="21" t="n">
        <f aca="false">SUM($P$8:$P$38)</f>
        <v>0</v>
      </c>
    </row>
    <row r="40" customFormat="false" ht="15" hidden="false" customHeight="false" outlineLevel="0" collapsed="false">
      <c r="A40" s="4" t="str">
        <f aca="false">IF($B40="","",ROW()-7)</f>
        <v/>
      </c>
      <c r="J40" s="9" t="str">
        <f aca="false">IF($H40="","",$H40*$I40)</f>
        <v/>
      </c>
    </row>
    <row r="41" customFormat="false" ht="15" hidden="false" customHeight="false" outlineLevel="0" collapsed="false">
      <c r="A41" s="4" t="str">
        <f aca="false">IF($B41="","",ROW()-7)</f>
        <v/>
      </c>
      <c r="J41" s="9" t="str">
        <f aca="false">IF($H41="","",$H41*$I41)</f>
        <v/>
      </c>
    </row>
    <row r="42" customFormat="false" ht="15" hidden="false" customHeight="false" outlineLevel="0" collapsed="false">
      <c r="A42" s="4" t="str">
        <f aca="false">IF($B42="","",ROW()-7)</f>
        <v/>
      </c>
      <c r="J42" s="9" t="str">
        <f aca="false">IF($H42="","",$H42*$I42)</f>
        <v/>
      </c>
    </row>
    <row r="43" customFormat="false" ht="15" hidden="false" customHeight="false" outlineLevel="0" collapsed="false">
      <c r="A43" s="4" t="str">
        <f aca="false">IF($B43="","",ROW()-7)</f>
        <v/>
      </c>
      <c r="J43" s="9" t="str">
        <f aca="false">IF($H43="","",$H43*$I43)</f>
        <v/>
      </c>
    </row>
    <row r="44" customFormat="false" ht="15" hidden="false" customHeight="false" outlineLevel="0" collapsed="false">
      <c r="A44" s="4" t="str">
        <f aca="false">IF($B44="","",ROW()-7)</f>
        <v/>
      </c>
      <c r="J44" s="9" t="str">
        <f aca="false">IF($H44="","",$H44*$I44)</f>
        <v/>
      </c>
    </row>
    <row r="45" customFormat="false" ht="15" hidden="false" customHeight="false" outlineLevel="0" collapsed="false">
      <c r="A45" s="4" t="str">
        <f aca="false">IF($B45="","",ROW()-7)</f>
        <v/>
      </c>
      <c r="J45" s="9" t="str">
        <f aca="false">IF($H45="","",$H45*$I45)</f>
        <v/>
      </c>
    </row>
    <row r="46" customFormat="false" ht="15" hidden="false" customHeight="false" outlineLevel="0" collapsed="false">
      <c r="A46" s="4" t="str">
        <f aca="false">IF($B46="","",ROW()-7)</f>
        <v/>
      </c>
      <c r="J46" s="9" t="str">
        <f aca="false">IF($H46="","",$H46*$I46)</f>
        <v/>
      </c>
    </row>
    <row r="47" customFormat="false" ht="15" hidden="false" customHeight="false" outlineLevel="0" collapsed="false">
      <c r="A47" s="4" t="str">
        <f aca="false">IF($B47="","",ROW()-7)</f>
        <v/>
      </c>
      <c r="J47" s="9" t="str">
        <f aca="false">IF($H47="","",$H47*$I47)</f>
        <v/>
      </c>
    </row>
    <row r="48" customFormat="false" ht="15" hidden="false" customHeight="false" outlineLevel="0" collapsed="false">
      <c r="A48" s="4" t="str">
        <f aca="false">IF($B48="","",ROW()-7)</f>
        <v/>
      </c>
      <c r="J48" s="9" t="str">
        <f aca="false">IF($H48="","",$H48*$I48)</f>
        <v/>
      </c>
    </row>
    <row r="49" customFormat="false" ht="15" hidden="false" customHeight="false" outlineLevel="0" collapsed="false">
      <c r="A49" s="4" t="str">
        <f aca="false">IF($B49="","",ROW()-7)</f>
        <v/>
      </c>
      <c r="J49" s="9" t="str">
        <f aca="false">IF($H49="","",$H49*$I49)</f>
        <v/>
      </c>
    </row>
    <row r="50" customFormat="false" ht="15" hidden="false" customHeight="false" outlineLevel="0" collapsed="false">
      <c r="A50" s="4" t="str">
        <f aca="false">IF($B50="","",ROW()-7)</f>
        <v/>
      </c>
      <c r="J50" s="9" t="str">
        <f aca="false">IF($H50="","",$H50*$I50)</f>
        <v/>
      </c>
    </row>
    <row r="51" customFormat="false" ht="15" hidden="false" customHeight="false" outlineLevel="0" collapsed="false">
      <c r="A51" s="4" t="str">
        <f aca="false">IF($B51="","",ROW()-7)</f>
        <v/>
      </c>
      <c r="J51" s="9" t="str">
        <f aca="false">IF($H51="","",$H51*$I51)</f>
        <v/>
      </c>
    </row>
    <row r="52" customFormat="false" ht="15" hidden="false" customHeight="false" outlineLevel="0" collapsed="false">
      <c r="A52" s="4" t="str">
        <f aca="false">IF($B52="","",ROW()-7)</f>
        <v/>
      </c>
      <c r="J52" s="9" t="str">
        <f aca="false">IF($H52="","",$H52*$I52)</f>
        <v/>
      </c>
    </row>
    <row r="53" customFormat="false" ht="15" hidden="false" customHeight="false" outlineLevel="0" collapsed="false">
      <c r="A53" s="4" t="str">
        <f aca="false">IF($B53="","",ROW()-7)</f>
        <v/>
      </c>
      <c r="J53" s="9" t="str">
        <f aca="false">IF($H53="","",$H53*$I53)</f>
        <v/>
      </c>
    </row>
    <row r="54" customFormat="false" ht="15" hidden="false" customHeight="false" outlineLevel="0" collapsed="false">
      <c r="A54" s="4" t="str">
        <f aca="false">IF($B54="","",ROW()-7)</f>
        <v/>
      </c>
      <c r="J54" s="9" t="str">
        <f aca="false">IF($H54="","",$H54*$I54)</f>
        <v/>
      </c>
    </row>
    <row r="55" customFormat="false" ht="15" hidden="false" customHeight="false" outlineLevel="0" collapsed="false">
      <c r="A55" s="4" t="str">
        <f aca="false">IF($B55="","",ROW()-7)</f>
        <v/>
      </c>
      <c r="J55" s="9" t="str">
        <f aca="false">IF($H55="","",$H55*$I55)</f>
        <v/>
      </c>
    </row>
    <row r="56" customFormat="false" ht="15" hidden="false" customHeight="false" outlineLevel="0" collapsed="false">
      <c r="A56" s="4" t="str">
        <f aca="false">IF($B56="","",ROW()-7)</f>
        <v/>
      </c>
      <c r="J56" s="9" t="str">
        <f aca="false">IF($H56="","",$H56*$I56)</f>
        <v/>
      </c>
    </row>
    <row r="57" customFormat="false" ht="15" hidden="false" customHeight="false" outlineLevel="0" collapsed="false">
      <c r="A57" s="4" t="str">
        <f aca="false">IF($B57="","",ROW()-7)</f>
        <v/>
      </c>
      <c r="J57" s="9" t="str">
        <f aca="false">IF($H57="","",$H57*$I57)</f>
        <v/>
      </c>
    </row>
    <row r="58" customFormat="false" ht="15" hidden="false" customHeight="false" outlineLevel="0" collapsed="false">
      <c r="A58" s="4" t="str">
        <f aca="false">IF($B58="","",ROW()-7)</f>
        <v/>
      </c>
      <c r="J58" s="9" t="str">
        <f aca="false">IF($H58="","",$H58*$I58)</f>
        <v/>
      </c>
    </row>
    <row r="59" customFormat="false" ht="15" hidden="false" customHeight="false" outlineLevel="0" collapsed="false">
      <c r="A59" s="4" t="str">
        <f aca="false">IF($B59="","",ROW()-7)</f>
        <v/>
      </c>
      <c r="J59" s="9" t="str">
        <f aca="false">IF($H59="","",$H59*$I59)</f>
        <v/>
      </c>
    </row>
    <row r="60" customFormat="false" ht="15" hidden="false" customHeight="false" outlineLevel="0" collapsed="false">
      <c r="A60" s="4" t="str">
        <f aca="false">IF($B60="","",ROW()-7)</f>
        <v/>
      </c>
      <c r="J60" s="9" t="str">
        <f aca="false">IF($H60="","",$H60*$I60)</f>
        <v/>
      </c>
    </row>
    <row r="61" customFormat="false" ht="15" hidden="false" customHeight="false" outlineLevel="0" collapsed="false">
      <c r="A61" s="4" t="str">
        <f aca="false">IF($B61="","",ROW()-7)</f>
        <v/>
      </c>
      <c r="J61" s="9" t="str">
        <f aca="false">IF($H61="","",$H61*$I61)</f>
        <v/>
      </c>
    </row>
    <row r="62" customFormat="false" ht="15" hidden="false" customHeight="false" outlineLevel="0" collapsed="false">
      <c r="A62" s="4" t="str">
        <f aca="false">IF($B62="","",ROW()-7)</f>
        <v/>
      </c>
      <c r="J62" s="9" t="str">
        <f aca="false">IF($H62="","",$H62*$I62)</f>
        <v/>
      </c>
    </row>
    <row r="63" customFormat="false" ht="15" hidden="false" customHeight="false" outlineLevel="0" collapsed="false">
      <c r="A63" s="4" t="str">
        <f aca="false">IF($B63="","",ROW()-7)</f>
        <v/>
      </c>
      <c r="J63" s="9" t="str">
        <f aca="false">IF($H63="","",$H63*$I63)</f>
        <v/>
      </c>
    </row>
    <row r="64" customFormat="false" ht="15" hidden="false" customHeight="false" outlineLevel="0" collapsed="false">
      <c r="A64" s="4" t="str">
        <f aca="false">IF($B64="","",ROW()-7)</f>
        <v/>
      </c>
      <c r="J64" s="9" t="str">
        <f aca="false">IF($H64="","",$H64*$I64)</f>
        <v/>
      </c>
    </row>
    <row r="65" customFormat="false" ht="15" hidden="false" customHeight="false" outlineLevel="0" collapsed="false">
      <c r="A65" s="4" t="str">
        <f aca="false">IF($B65="","",ROW()-7)</f>
        <v/>
      </c>
      <c r="J65" s="9" t="str">
        <f aca="false">IF($H65="","",$H65*$I65)</f>
        <v/>
      </c>
    </row>
    <row r="66" customFormat="false" ht="15" hidden="false" customHeight="false" outlineLevel="0" collapsed="false">
      <c r="A66" s="4" t="str">
        <f aca="false">IF($B66="","",ROW()-7)</f>
        <v/>
      </c>
      <c r="J66" s="9" t="str">
        <f aca="false">IF($H66="","",$H66*$I66)</f>
        <v/>
      </c>
    </row>
    <row r="67" customFormat="false" ht="15" hidden="false" customHeight="false" outlineLevel="0" collapsed="false">
      <c r="A67" s="4" t="str">
        <f aca="false">IF($B67="","",ROW()-7)</f>
        <v/>
      </c>
      <c r="J67" s="9" t="str">
        <f aca="false">IF($H67="","",$H67*$I67)</f>
        <v/>
      </c>
    </row>
    <row r="68" customFormat="false" ht="15" hidden="false" customHeight="false" outlineLevel="0" collapsed="false">
      <c r="A68" s="4" t="str">
        <f aca="false">IF($B68="","",ROW()-7)</f>
        <v/>
      </c>
      <c r="J68" s="9" t="str">
        <f aca="false">IF($H68="","",$H68*$I68)</f>
        <v/>
      </c>
    </row>
    <row r="69" customFormat="false" ht="15" hidden="false" customHeight="false" outlineLevel="0" collapsed="false">
      <c r="A69" s="4" t="str">
        <f aca="false">IF($B69="","",ROW()-7)</f>
        <v/>
      </c>
      <c r="J69" s="9" t="str">
        <f aca="false">IF($H69="","",$H69*$I69)</f>
        <v/>
      </c>
    </row>
    <row r="70" customFormat="false" ht="15" hidden="false" customHeight="false" outlineLevel="0" collapsed="false">
      <c r="A70" s="4" t="str">
        <f aca="false">IF($B70="","",ROW()-7)</f>
        <v/>
      </c>
      <c r="J70" s="9" t="str">
        <f aca="false">IF($H70="","",$H70*$I70)</f>
        <v/>
      </c>
    </row>
    <row r="71" customFormat="false" ht="15" hidden="false" customHeight="false" outlineLevel="0" collapsed="false">
      <c r="A71" s="4" t="str">
        <f aca="false">IF($B71="","",ROW()-7)</f>
        <v/>
      </c>
      <c r="J71" s="9" t="str">
        <f aca="false">IF($H71="","",$H71*$I71)</f>
        <v/>
      </c>
    </row>
    <row r="72" customFormat="false" ht="15" hidden="false" customHeight="false" outlineLevel="0" collapsed="false">
      <c r="A72" s="4" t="str">
        <f aca="false">IF($B72="","",ROW()-7)</f>
        <v/>
      </c>
      <c r="J72" s="9" t="str">
        <f aca="false">IF($H72="","",$H72*$I72)</f>
        <v/>
      </c>
    </row>
    <row r="73" customFormat="false" ht="15" hidden="false" customHeight="false" outlineLevel="0" collapsed="false">
      <c r="A73" s="4" t="str">
        <f aca="false">IF($B73="","",ROW()-7)</f>
        <v/>
      </c>
      <c r="J73" s="9" t="str">
        <f aca="false">IF($H73="","",$H73*$I73)</f>
        <v/>
      </c>
    </row>
    <row r="74" customFormat="false" ht="15" hidden="false" customHeight="false" outlineLevel="0" collapsed="false">
      <c r="A74" s="4" t="str">
        <f aca="false">IF($B74="","",ROW()-7)</f>
        <v/>
      </c>
      <c r="J74" s="9" t="str">
        <f aca="false">IF($H74="","",$H74*$I74)</f>
        <v/>
      </c>
    </row>
    <row r="75" customFormat="false" ht="15" hidden="false" customHeight="false" outlineLevel="0" collapsed="false">
      <c r="A75" s="4" t="str">
        <f aca="false">IF($B75="","",ROW()-7)</f>
        <v/>
      </c>
      <c r="J75" s="9" t="str">
        <f aca="false">IF($H75="","",$H75*$I75)</f>
        <v/>
      </c>
    </row>
    <row r="76" customFormat="false" ht="15" hidden="false" customHeight="false" outlineLevel="0" collapsed="false">
      <c r="A76" s="4" t="str">
        <f aca="false">IF($B76="","",ROW()-7)</f>
        <v/>
      </c>
      <c r="J76" s="9" t="str">
        <f aca="false">IF($H76="","",$H76*$I76)</f>
        <v/>
      </c>
    </row>
    <row r="77" customFormat="false" ht="15" hidden="false" customHeight="false" outlineLevel="0" collapsed="false">
      <c r="A77" s="4" t="str">
        <f aca="false">IF($B77="","",ROW()-7)</f>
        <v/>
      </c>
      <c r="J77" s="9" t="str">
        <f aca="false">IF($H77="","",$H77*$I77)</f>
        <v/>
      </c>
    </row>
    <row r="78" customFormat="false" ht="15" hidden="false" customHeight="false" outlineLevel="0" collapsed="false">
      <c r="A78" s="4" t="str">
        <f aca="false">IF($B78="","",ROW()-7)</f>
        <v/>
      </c>
      <c r="J78" s="9" t="str">
        <f aca="false">IF($H78="","",$H78*$I78)</f>
        <v/>
      </c>
    </row>
    <row r="79" customFormat="false" ht="15" hidden="false" customHeight="false" outlineLevel="0" collapsed="false">
      <c r="A79" s="4" t="str">
        <f aca="false">IF($B79="","",ROW()-7)</f>
        <v/>
      </c>
      <c r="J79" s="9" t="str">
        <f aca="false">IF($H79="","",$H79*$I79)</f>
        <v/>
      </c>
    </row>
    <row r="80" customFormat="false" ht="15" hidden="false" customHeight="false" outlineLevel="0" collapsed="false">
      <c r="A80" s="4" t="str">
        <f aca="false">IF($B80="","",ROW()-7)</f>
        <v/>
      </c>
      <c r="J80" s="9" t="str">
        <f aca="false">IF($H80="","",$H80*$I80)</f>
        <v/>
      </c>
    </row>
    <row r="81" customFormat="false" ht="15" hidden="false" customHeight="false" outlineLevel="0" collapsed="false">
      <c r="A81" s="4" t="str">
        <f aca="false">IF($B81="","",ROW()-7)</f>
        <v/>
      </c>
      <c r="J81" s="9" t="str">
        <f aca="false">IF($H81="","",$H81*$I81)</f>
        <v/>
      </c>
    </row>
    <row r="82" customFormat="false" ht="15" hidden="false" customHeight="false" outlineLevel="0" collapsed="false">
      <c r="A82" s="4" t="str">
        <f aca="false">IF($B82="","",ROW()-7)</f>
        <v/>
      </c>
      <c r="J82" s="9" t="str">
        <f aca="false">IF($H82="","",$H82*$I82)</f>
        <v/>
      </c>
    </row>
    <row r="83" customFormat="false" ht="15" hidden="false" customHeight="false" outlineLevel="0" collapsed="false">
      <c r="A83" s="4" t="str">
        <f aca="false">IF($B83="","",ROW()-7)</f>
        <v/>
      </c>
      <c r="J83" s="9" t="str">
        <f aca="false">IF($H83="","",$H83*$I83)</f>
        <v/>
      </c>
    </row>
    <row r="84" customFormat="false" ht="15" hidden="false" customHeight="false" outlineLevel="0" collapsed="false">
      <c r="A84" s="4" t="str">
        <f aca="false">IF($B84="","",ROW()-7)</f>
        <v/>
      </c>
      <c r="J84" s="9" t="str">
        <f aca="false">IF($H84="","",$H84*$I84)</f>
        <v/>
      </c>
    </row>
    <row r="85" customFormat="false" ht="15" hidden="false" customHeight="false" outlineLevel="0" collapsed="false">
      <c r="A85" s="4" t="str">
        <f aca="false">IF($B85="","",ROW()-7)</f>
        <v/>
      </c>
      <c r="J85" s="9" t="str">
        <f aca="false">IF($H85="","",$H85*$I85)</f>
        <v/>
      </c>
    </row>
    <row r="86" customFormat="false" ht="15" hidden="false" customHeight="false" outlineLevel="0" collapsed="false">
      <c r="A86" s="4" t="str">
        <f aca="false">IF($B86="","",ROW()-7)</f>
        <v/>
      </c>
      <c r="J86" s="9" t="str">
        <f aca="false">IF($H86="","",$H86*$I86)</f>
        <v/>
      </c>
    </row>
    <row r="87" customFormat="false" ht="15" hidden="false" customHeight="false" outlineLevel="0" collapsed="false">
      <c r="A87" s="4" t="str">
        <f aca="false">IF($B87="","",ROW()-7)</f>
        <v/>
      </c>
      <c r="J87" s="9" t="str">
        <f aca="false">IF($H87="","",$H87*$I87)</f>
        <v/>
      </c>
    </row>
    <row r="88" customFormat="false" ht="15" hidden="false" customHeight="false" outlineLevel="0" collapsed="false">
      <c r="A88" s="4" t="str">
        <f aca="false">IF($B88="","",ROW()-7)</f>
        <v/>
      </c>
      <c r="J88" s="9" t="str">
        <f aca="false">IF($H88="","",$H88*$I88)</f>
        <v/>
      </c>
    </row>
    <row r="89" customFormat="false" ht="15" hidden="false" customHeight="false" outlineLevel="0" collapsed="false">
      <c r="A89" s="4" t="str">
        <f aca="false">IF($B89="","",ROW()-7)</f>
        <v/>
      </c>
      <c r="J89" s="9" t="str">
        <f aca="false">IF($H89="","",$H89*$I89)</f>
        <v/>
      </c>
    </row>
    <row r="90" customFormat="false" ht="15" hidden="false" customHeight="false" outlineLevel="0" collapsed="false">
      <c r="A90" s="4" t="str">
        <f aca="false">IF($B90="","",ROW()-7)</f>
        <v/>
      </c>
      <c r="J90" s="9" t="str">
        <f aca="false">IF($H90="","",$H90*$I90)</f>
        <v/>
      </c>
    </row>
    <row r="91" customFormat="false" ht="15" hidden="false" customHeight="false" outlineLevel="0" collapsed="false">
      <c r="A91" s="4" t="str">
        <f aca="false">IF($B91="","",ROW()-7)</f>
        <v/>
      </c>
      <c r="J91" s="9" t="str">
        <f aca="false">IF($H91="","",$H91*$I91)</f>
        <v/>
      </c>
    </row>
    <row r="92" customFormat="false" ht="15" hidden="false" customHeight="false" outlineLevel="0" collapsed="false">
      <c r="A92" s="4" t="str">
        <f aca="false">IF($B92="","",ROW()-7)</f>
        <v/>
      </c>
      <c r="J92" s="9" t="str">
        <f aca="false">IF($H92="","",$H92*$I92)</f>
        <v/>
      </c>
    </row>
    <row r="93" customFormat="false" ht="15" hidden="false" customHeight="false" outlineLevel="0" collapsed="false">
      <c r="A93" s="4" t="str">
        <f aca="false">IF($B93="","",ROW()-7)</f>
        <v/>
      </c>
      <c r="J93" s="9" t="str">
        <f aca="false">IF($H93="","",$H93*$I93)</f>
        <v/>
      </c>
    </row>
    <row r="94" customFormat="false" ht="15" hidden="false" customHeight="false" outlineLevel="0" collapsed="false">
      <c r="A94" s="4" t="str">
        <f aca="false">IF($B94="","",ROW()-7)</f>
        <v/>
      </c>
      <c r="J94" s="9" t="str">
        <f aca="false">IF($H94="","",$H94*$I94)</f>
        <v/>
      </c>
    </row>
    <row r="95" customFormat="false" ht="15" hidden="false" customHeight="false" outlineLevel="0" collapsed="false">
      <c r="A95" s="4" t="str">
        <f aca="false">IF($B95="","",ROW()-7)</f>
        <v/>
      </c>
      <c r="J95" s="9" t="str">
        <f aca="false">IF($H95="","",$H95*$I95)</f>
        <v/>
      </c>
    </row>
    <row r="96" customFormat="false" ht="15" hidden="false" customHeight="false" outlineLevel="0" collapsed="false">
      <c r="A96" s="4" t="str">
        <f aca="false">IF($B96="","",ROW()-7)</f>
        <v/>
      </c>
      <c r="J96" s="9" t="str">
        <f aca="false">IF($H96="","",$H96*$I96)</f>
        <v/>
      </c>
    </row>
    <row r="97" customFormat="false" ht="15" hidden="false" customHeight="false" outlineLevel="0" collapsed="false">
      <c r="A97" s="4" t="str">
        <f aca="false">IF($B97="","",ROW()-7)</f>
        <v/>
      </c>
      <c r="J97" s="9" t="str">
        <f aca="false">IF($H97="","",$H97*$I97)</f>
        <v/>
      </c>
    </row>
    <row r="98" customFormat="false" ht="15" hidden="false" customHeight="false" outlineLevel="0" collapsed="false">
      <c r="A98" s="4" t="str">
        <f aca="false">IF($B98="","",ROW()-7)</f>
        <v/>
      </c>
      <c r="J98" s="9" t="str">
        <f aca="false">IF($H98="","",$H98*$I98)</f>
        <v/>
      </c>
    </row>
    <row r="99" customFormat="false" ht="15" hidden="false" customHeight="false" outlineLevel="0" collapsed="false">
      <c r="A99" s="4" t="str">
        <f aca="false">IF($B99="","",ROW()-7)</f>
        <v/>
      </c>
      <c r="J99" s="9" t="str">
        <f aca="false">IF($H99="","",$H99*$I99)</f>
        <v/>
      </c>
    </row>
    <row r="100" customFormat="false" ht="15" hidden="false" customHeight="false" outlineLevel="0" collapsed="false">
      <c r="A100" s="4" t="str">
        <f aca="false">IF($B100="","",ROW()-7)</f>
        <v/>
      </c>
      <c r="J100" s="9" t="str">
        <f aca="false">IF($H100="","",$H100*$I100)</f>
        <v/>
      </c>
    </row>
    <row r="101" customFormat="false" ht="15" hidden="false" customHeight="false" outlineLevel="0" collapsed="false">
      <c r="A101" s="4" t="str">
        <f aca="false">IF($B101="","",ROW()-7)</f>
        <v/>
      </c>
      <c r="J101" s="9" t="str">
        <f aca="false">IF($H101="","",$H101*$I101)</f>
        <v/>
      </c>
    </row>
    <row r="102" customFormat="false" ht="15" hidden="false" customHeight="false" outlineLevel="0" collapsed="false">
      <c r="A102" s="4" t="str">
        <f aca="false">IF($B102="","",ROW()-7)</f>
        <v/>
      </c>
      <c r="J102" s="9" t="str">
        <f aca="false">IF($H102="","",$H102*$I102)</f>
        <v/>
      </c>
    </row>
    <row r="103" customFormat="false" ht="15" hidden="false" customHeight="false" outlineLevel="0" collapsed="false">
      <c r="A103" s="4" t="str">
        <f aca="false">IF($B103="","",ROW()-7)</f>
        <v/>
      </c>
      <c r="J103" s="9" t="str">
        <f aca="false">IF($H103="","",$H103*$I103)</f>
        <v/>
      </c>
    </row>
    <row r="104" customFormat="false" ht="15" hidden="false" customHeight="false" outlineLevel="0" collapsed="false">
      <c r="A104" s="4" t="str">
        <f aca="false">IF($B104="","",ROW()-7)</f>
        <v/>
      </c>
      <c r="J104" s="9" t="str">
        <f aca="false">IF($H104="","",$H104*$I104)</f>
        <v/>
      </c>
    </row>
    <row r="105" customFormat="false" ht="15" hidden="false" customHeight="false" outlineLevel="0" collapsed="false">
      <c r="A105" s="4" t="str">
        <f aca="false">IF($B105="","",ROW()-7)</f>
        <v/>
      </c>
      <c r="J105" s="9" t="str">
        <f aca="false">IF($H105="","",$H105*$I105)</f>
        <v/>
      </c>
    </row>
    <row r="106" customFormat="false" ht="15" hidden="false" customHeight="false" outlineLevel="0" collapsed="false">
      <c r="A106" s="4" t="str">
        <f aca="false">IF($B106="","",ROW()-7)</f>
        <v/>
      </c>
      <c r="J106" s="9" t="str">
        <f aca="false">IF($H106="","",$H106*$I106)</f>
        <v/>
      </c>
    </row>
    <row r="107" customFormat="false" ht="15" hidden="false" customHeight="false" outlineLevel="0" collapsed="false">
      <c r="A107" s="4" t="str">
        <f aca="false">IF($B107="","",ROW()-7)</f>
        <v/>
      </c>
      <c r="J107" s="9" t="str">
        <f aca="false">IF($H107="","",$H107*$I107)</f>
        <v/>
      </c>
    </row>
  </sheetData>
  <mergeCells count="5">
    <mergeCell ref="A1:M1"/>
    <mergeCell ref="B3:C3"/>
    <mergeCell ref="B4:C4"/>
    <mergeCell ref="B5:C5"/>
    <mergeCell ref="O6:P6"/>
  </mergeCells>
  <conditionalFormatting sqref="L8:L107">
    <cfRule type="cellIs" priority="2" operator="equal" aboveAverage="0" equalAverage="0" bottom="0" percent="0" rank="0" text="" dxfId="0">
      <formula>"Đã chuyển khoản"</formula>
    </cfRule>
    <cfRule type="cellIs" priority="3" operator="equal" aboveAverage="0" equalAverage="0" bottom="0" percent="0" rank="0" text="" dxfId="1">
      <formula>"Chưa chuyển khoản"</formula>
    </cfRule>
  </conditionalFormatting>
  <dataValidations count="1">
    <dataValidation allowBlank="true" error="Chọn: Đã chuyển khoản hoặc Chưa chuyển khoản" errorStyle="stop" operator="between" showDropDown="false" showErrorMessage="false" showInputMessage="false" sqref="L8:L107" type="list">
      <formula1>"Đã chuyển khoản,Chưa chuyển khoản"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4" width="5"/>
    <col collapsed="false" customWidth="true" hidden="false" outlineLevel="0" max="2" min="2" style="5" width="12"/>
    <col collapsed="false" customWidth="true" hidden="false" outlineLevel="0" max="3" min="3" style="6" width="20"/>
    <col collapsed="false" customWidth="true" hidden="false" outlineLevel="0" max="4" min="4" style="6" width="26"/>
    <col collapsed="false" customWidth="true" hidden="false" outlineLevel="0" max="6" min="5" style="7" width="14"/>
    <col collapsed="false" customWidth="true" hidden="false" outlineLevel="0" max="7" min="7" style="6" width="24"/>
    <col collapsed="false" customWidth="true" hidden="false" outlineLevel="0" max="8" min="8" style="8" width="10"/>
    <col collapsed="false" customWidth="true" hidden="false" outlineLevel="0" max="9" min="9" style="9" width="12"/>
    <col collapsed="false" customWidth="true" hidden="false" outlineLevel="0" max="10" min="10" style="9" width="14"/>
    <col collapsed="false" customWidth="true" hidden="false" outlineLevel="0" max="11" min="11" style="4" width="18"/>
    <col collapsed="false" customWidth="true" hidden="false" outlineLevel="0" max="12" min="12" style="4" width="20"/>
    <col collapsed="false" customWidth="true" hidden="false" outlineLevel="0" max="13" min="13" style="6" width="18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25.5" hidden="false" customHeight="true" outlineLevel="0" collapsed="false">
      <c r="A1" s="10" t="s">
        <v>71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customFormat="false" ht="15" hidden="false" customHeight="true" outlineLevel="0" collapsed="false">
      <c r="B3" s="11" t="s">
        <v>27</v>
      </c>
      <c r="C3" s="11"/>
      <c r="D3" s="12" t="n">
        <f aca="false">SUM($J$8:$J$107)</f>
        <v>0</v>
      </c>
    </row>
    <row r="4" customFormat="false" ht="15" hidden="false" customHeight="true" outlineLevel="0" collapsed="false">
      <c r="B4" s="11" t="s">
        <v>28</v>
      </c>
      <c r="C4" s="11"/>
      <c r="D4" s="12" t="n">
        <f aca="false">SUMIF($L$8:$L$107,"Đã chuyển khoản",$J$8:$J$107)</f>
        <v>0</v>
      </c>
    </row>
    <row r="5" customFormat="false" ht="15" hidden="false" customHeight="true" outlineLevel="0" collapsed="false">
      <c r="B5" s="11" t="s">
        <v>29</v>
      </c>
      <c r="C5" s="11"/>
      <c r="D5" s="12" t="n">
        <f aca="false">SUMIF($L$8:$L$107,"Chưa chuyển khoản",$J$8:$J$107)</f>
        <v>0</v>
      </c>
    </row>
    <row r="6" customFormat="false" ht="15" hidden="false" customHeight="true" outlineLevel="0" collapsed="false">
      <c r="O6" s="13" t="s">
        <v>30</v>
      </c>
      <c r="P6" s="13"/>
    </row>
    <row r="7" customFormat="false" ht="30" hidden="false" customHeight="true" outlineLevel="0" collapsed="false">
      <c r="A7" s="14" t="s">
        <v>31</v>
      </c>
      <c r="B7" s="14" t="s">
        <v>32</v>
      </c>
      <c r="C7" s="14" t="s">
        <v>33</v>
      </c>
      <c r="D7" s="14" t="s">
        <v>34</v>
      </c>
      <c r="E7" s="14" t="s">
        <v>35</v>
      </c>
      <c r="F7" s="14" t="s">
        <v>36</v>
      </c>
      <c r="G7" s="14" t="s">
        <v>37</v>
      </c>
      <c r="H7" s="14" t="s">
        <v>38</v>
      </c>
      <c r="I7" s="14" t="s">
        <v>39</v>
      </c>
      <c r="J7" s="14" t="s">
        <v>40</v>
      </c>
      <c r="K7" s="14" t="s">
        <v>41</v>
      </c>
      <c r="L7" s="14" t="s">
        <v>42</v>
      </c>
      <c r="M7" s="14" t="s">
        <v>43</v>
      </c>
      <c r="O7" s="14" t="s">
        <v>44</v>
      </c>
      <c r="P7" s="14" t="s">
        <v>45</v>
      </c>
    </row>
    <row r="8" customFormat="false" ht="15" hidden="false" customHeight="false" outlineLevel="0" collapsed="false">
      <c r="A8" s="4" t="str">
        <f aca="false">IF($B8="","",ROW()-7)</f>
        <v/>
      </c>
      <c r="J8" s="9" t="str">
        <f aca="false">IF($H8="","",$H8*$I8)</f>
        <v/>
      </c>
      <c r="O8" s="18" t="n">
        <v>46327</v>
      </c>
      <c r="P8" s="19" t="n">
        <f aca="false">SUMIF($B$8:$B$107,$O8,$J$8:$J$107)</f>
        <v>0</v>
      </c>
    </row>
    <row r="9" customFormat="false" ht="15" hidden="false" customHeight="false" outlineLevel="0" collapsed="false">
      <c r="A9" s="4" t="str">
        <f aca="false">IF($B9="","",ROW()-7)</f>
        <v/>
      </c>
      <c r="J9" s="9" t="str">
        <f aca="false">IF($H9="","",$H9*$I9)</f>
        <v/>
      </c>
      <c r="O9" s="18" t="n">
        <v>46328</v>
      </c>
      <c r="P9" s="19" t="n">
        <f aca="false">SUMIF($B$8:$B$107,$O9,$J$8:$J$107)</f>
        <v>0</v>
      </c>
    </row>
    <row r="10" customFormat="false" ht="15" hidden="false" customHeight="false" outlineLevel="0" collapsed="false">
      <c r="A10" s="4" t="str">
        <f aca="false">IF($B10="","",ROW()-7)</f>
        <v/>
      </c>
      <c r="J10" s="9" t="str">
        <f aca="false">IF($H10="","",$H10*$I10)</f>
        <v/>
      </c>
      <c r="O10" s="18" t="n">
        <v>46329</v>
      </c>
      <c r="P10" s="19" t="n">
        <f aca="false">SUMIF($B$8:$B$107,$O10,$J$8:$J$107)</f>
        <v>0</v>
      </c>
    </row>
    <row r="11" customFormat="false" ht="15" hidden="false" customHeight="false" outlineLevel="0" collapsed="false">
      <c r="A11" s="4" t="str">
        <f aca="false">IF($B11="","",ROW()-7)</f>
        <v/>
      </c>
      <c r="J11" s="9" t="str">
        <f aca="false">IF($H11="","",$H11*$I11)</f>
        <v/>
      </c>
      <c r="O11" s="18" t="n">
        <v>46330</v>
      </c>
      <c r="P11" s="19" t="n">
        <f aca="false">SUMIF($B$8:$B$107,$O11,$J$8:$J$107)</f>
        <v>0</v>
      </c>
    </row>
    <row r="12" customFormat="false" ht="15" hidden="false" customHeight="false" outlineLevel="0" collapsed="false">
      <c r="A12" s="4" t="str">
        <f aca="false">IF($B12="","",ROW()-7)</f>
        <v/>
      </c>
      <c r="J12" s="9" t="str">
        <f aca="false">IF($H12="","",$H12*$I12)</f>
        <v/>
      </c>
      <c r="O12" s="18" t="n">
        <v>46331</v>
      </c>
      <c r="P12" s="19" t="n">
        <f aca="false">SUMIF($B$8:$B$107,$O12,$J$8:$J$107)</f>
        <v>0</v>
      </c>
    </row>
    <row r="13" customFormat="false" ht="15" hidden="false" customHeight="false" outlineLevel="0" collapsed="false">
      <c r="A13" s="4" t="str">
        <f aca="false">IF($B13="","",ROW()-7)</f>
        <v/>
      </c>
      <c r="J13" s="9" t="str">
        <f aca="false">IF($H13="","",$H13*$I13)</f>
        <v/>
      </c>
      <c r="O13" s="18" t="n">
        <v>46332</v>
      </c>
      <c r="P13" s="19" t="n">
        <f aca="false">SUMIF($B$8:$B$107,$O13,$J$8:$J$107)</f>
        <v>0</v>
      </c>
    </row>
    <row r="14" customFormat="false" ht="15" hidden="false" customHeight="false" outlineLevel="0" collapsed="false">
      <c r="A14" s="4" t="str">
        <f aca="false">IF($B14="","",ROW()-7)</f>
        <v/>
      </c>
      <c r="J14" s="9" t="str">
        <f aca="false">IF($H14="","",$H14*$I14)</f>
        <v/>
      </c>
      <c r="O14" s="18" t="n">
        <v>46333</v>
      </c>
      <c r="P14" s="19" t="n">
        <f aca="false">SUMIF($B$8:$B$107,$O14,$J$8:$J$107)</f>
        <v>0</v>
      </c>
    </row>
    <row r="15" customFormat="false" ht="15" hidden="false" customHeight="false" outlineLevel="0" collapsed="false">
      <c r="A15" s="4" t="str">
        <f aca="false">IF($B15="","",ROW()-7)</f>
        <v/>
      </c>
      <c r="J15" s="9" t="str">
        <f aca="false">IF($H15="","",$H15*$I15)</f>
        <v/>
      </c>
      <c r="O15" s="18" t="n">
        <v>46334</v>
      </c>
      <c r="P15" s="19" t="n">
        <f aca="false">SUMIF($B$8:$B$107,$O15,$J$8:$J$107)</f>
        <v>0</v>
      </c>
    </row>
    <row r="16" customFormat="false" ht="15" hidden="false" customHeight="false" outlineLevel="0" collapsed="false">
      <c r="A16" s="4" t="str">
        <f aca="false">IF($B16="","",ROW()-7)</f>
        <v/>
      </c>
      <c r="J16" s="9" t="str">
        <f aca="false">IF($H16="","",$H16*$I16)</f>
        <v/>
      </c>
      <c r="O16" s="18" t="n">
        <v>46335</v>
      </c>
      <c r="P16" s="19" t="n">
        <f aca="false">SUMIF($B$8:$B$107,$O16,$J$8:$J$107)</f>
        <v>0</v>
      </c>
    </row>
    <row r="17" customFormat="false" ht="15" hidden="false" customHeight="false" outlineLevel="0" collapsed="false">
      <c r="A17" s="4" t="str">
        <f aca="false">IF($B17="","",ROW()-7)</f>
        <v/>
      </c>
      <c r="J17" s="9" t="str">
        <f aca="false">IF($H17="","",$H17*$I17)</f>
        <v/>
      </c>
      <c r="O17" s="18" t="n">
        <v>46336</v>
      </c>
      <c r="P17" s="19" t="n">
        <f aca="false">SUMIF($B$8:$B$107,$O17,$J$8:$J$107)</f>
        <v>0</v>
      </c>
    </row>
    <row r="18" customFormat="false" ht="15" hidden="false" customHeight="false" outlineLevel="0" collapsed="false">
      <c r="A18" s="4" t="str">
        <f aca="false">IF($B18="","",ROW()-7)</f>
        <v/>
      </c>
      <c r="J18" s="9" t="str">
        <f aca="false">IF($H18="","",$H18*$I18)</f>
        <v/>
      </c>
      <c r="O18" s="18" t="n">
        <v>46337</v>
      </c>
      <c r="P18" s="19" t="n">
        <f aca="false">SUMIF($B$8:$B$107,$O18,$J$8:$J$107)</f>
        <v>0</v>
      </c>
    </row>
    <row r="19" customFormat="false" ht="15" hidden="false" customHeight="false" outlineLevel="0" collapsed="false">
      <c r="A19" s="4" t="str">
        <f aca="false">IF($B19="","",ROW()-7)</f>
        <v/>
      </c>
      <c r="J19" s="9" t="str">
        <f aca="false">IF($H19="","",$H19*$I19)</f>
        <v/>
      </c>
      <c r="O19" s="18" t="n">
        <v>46338</v>
      </c>
      <c r="P19" s="19" t="n">
        <f aca="false">SUMIF($B$8:$B$107,$O19,$J$8:$J$107)</f>
        <v>0</v>
      </c>
    </row>
    <row r="20" customFormat="false" ht="15" hidden="false" customHeight="false" outlineLevel="0" collapsed="false">
      <c r="A20" s="4" t="str">
        <f aca="false">IF($B20="","",ROW()-7)</f>
        <v/>
      </c>
      <c r="J20" s="9" t="str">
        <f aca="false">IF($H20="","",$H20*$I20)</f>
        <v/>
      </c>
      <c r="O20" s="18" t="n">
        <v>46339</v>
      </c>
      <c r="P20" s="19" t="n">
        <f aca="false">SUMIF($B$8:$B$107,$O20,$J$8:$J$107)</f>
        <v>0</v>
      </c>
    </row>
    <row r="21" customFormat="false" ht="15" hidden="false" customHeight="false" outlineLevel="0" collapsed="false">
      <c r="A21" s="4" t="str">
        <f aca="false">IF($B21="","",ROW()-7)</f>
        <v/>
      </c>
      <c r="J21" s="9" t="str">
        <f aca="false">IF($H21="","",$H21*$I21)</f>
        <v/>
      </c>
      <c r="O21" s="18" t="n">
        <v>46340</v>
      </c>
      <c r="P21" s="19" t="n">
        <f aca="false">SUMIF($B$8:$B$107,$O21,$J$8:$J$107)</f>
        <v>0</v>
      </c>
    </row>
    <row r="22" customFormat="false" ht="15" hidden="false" customHeight="false" outlineLevel="0" collapsed="false">
      <c r="A22" s="4" t="str">
        <f aca="false">IF($B22="","",ROW()-7)</f>
        <v/>
      </c>
      <c r="J22" s="9" t="str">
        <f aca="false">IF($H22="","",$H22*$I22)</f>
        <v/>
      </c>
      <c r="O22" s="18" t="n">
        <v>46341</v>
      </c>
      <c r="P22" s="19" t="n">
        <f aca="false">SUMIF($B$8:$B$107,$O22,$J$8:$J$107)</f>
        <v>0</v>
      </c>
    </row>
    <row r="23" customFormat="false" ht="15" hidden="false" customHeight="false" outlineLevel="0" collapsed="false">
      <c r="A23" s="4" t="str">
        <f aca="false">IF($B23="","",ROW()-7)</f>
        <v/>
      </c>
      <c r="J23" s="9" t="str">
        <f aca="false">IF($H23="","",$H23*$I23)</f>
        <v/>
      </c>
      <c r="O23" s="18" t="n">
        <v>46342</v>
      </c>
      <c r="P23" s="19" t="n">
        <f aca="false">SUMIF($B$8:$B$107,$O23,$J$8:$J$107)</f>
        <v>0</v>
      </c>
    </row>
    <row r="24" customFormat="false" ht="15" hidden="false" customHeight="false" outlineLevel="0" collapsed="false">
      <c r="A24" s="4" t="str">
        <f aca="false">IF($B24="","",ROW()-7)</f>
        <v/>
      </c>
      <c r="J24" s="9" t="str">
        <f aca="false">IF($H24="","",$H24*$I24)</f>
        <v/>
      </c>
      <c r="O24" s="18" t="n">
        <v>46343</v>
      </c>
      <c r="P24" s="19" t="n">
        <f aca="false">SUMIF($B$8:$B$107,$O24,$J$8:$J$107)</f>
        <v>0</v>
      </c>
    </row>
    <row r="25" customFormat="false" ht="15" hidden="false" customHeight="false" outlineLevel="0" collapsed="false">
      <c r="A25" s="4" t="str">
        <f aca="false">IF($B25="","",ROW()-7)</f>
        <v/>
      </c>
      <c r="J25" s="9" t="str">
        <f aca="false">IF($H25="","",$H25*$I25)</f>
        <v/>
      </c>
      <c r="O25" s="18" t="n">
        <v>46344</v>
      </c>
      <c r="P25" s="19" t="n">
        <f aca="false">SUMIF($B$8:$B$107,$O25,$J$8:$J$107)</f>
        <v>0</v>
      </c>
    </row>
    <row r="26" customFormat="false" ht="15" hidden="false" customHeight="false" outlineLevel="0" collapsed="false">
      <c r="A26" s="4" t="str">
        <f aca="false">IF($B26="","",ROW()-7)</f>
        <v/>
      </c>
      <c r="J26" s="9" t="str">
        <f aca="false">IF($H26="","",$H26*$I26)</f>
        <v/>
      </c>
      <c r="O26" s="18" t="n">
        <v>46345</v>
      </c>
      <c r="P26" s="19" t="n">
        <f aca="false">SUMIF($B$8:$B$107,$O26,$J$8:$J$107)</f>
        <v>0</v>
      </c>
    </row>
    <row r="27" customFormat="false" ht="15" hidden="false" customHeight="false" outlineLevel="0" collapsed="false">
      <c r="A27" s="4" t="str">
        <f aca="false">IF($B27="","",ROW()-7)</f>
        <v/>
      </c>
      <c r="J27" s="9" t="str">
        <f aca="false">IF($H27="","",$H27*$I27)</f>
        <v/>
      </c>
      <c r="O27" s="18" t="n">
        <v>46346</v>
      </c>
      <c r="P27" s="19" t="n">
        <f aca="false">SUMIF($B$8:$B$107,$O27,$J$8:$J$107)</f>
        <v>0</v>
      </c>
    </row>
    <row r="28" customFormat="false" ht="15" hidden="false" customHeight="false" outlineLevel="0" collapsed="false">
      <c r="A28" s="4" t="str">
        <f aca="false">IF($B28="","",ROW()-7)</f>
        <v/>
      </c>
      <c r="J28" s="9" t="str">
        <f aca="false">IF($H28="","",$H28*$I28)</f>
        <v/>
      </c>
      <c r="O28" s="18" t="n">
        <v>46347</v>
      </c>
      <c r="P28" s="19" t="n">
        <f aca="false">SUMIF($B$8:$B$107,$O28,$J$8:$J$107)</f>
        <v>0</v>
      </c>
    </row>
    <row r="29" customFormat="false" ht="15" hidden="false" customHeight="false" outlineLevel="0" collapsed="false">
      <c r="A29" s="4" t="str">
        <f aca="false">IF($B29="","",ROW()-7)</f>
        <v/>
      </c>
      <c r="J29" s="9" t="str">
        <f aca="false">IF($H29="","",$H29*$I29)</f>
        <v/>
      </c>
      <c r="O29" s="18" t="n">
        <v>46348</v>
      </c>
      <c r="P29" s="19" t="n">
        <f aca="false">SUMIF($B$8:$B$107,$O29,$J$8:$J$107)</f>
        <v>0</v>
      </c>
    </row>
    <row r="30" customFormat="false" ht="15" hidden="false" customHeight="false" outlineLevel="0" collapsed="false">
      <c r="A30" s="4" t="str">
        <f aca="false">IF($B30="","",ROW()-7)</f>
        <v/>
      </c>
      <c r="J30" s="9" t="str">
        <f aca="false">IF($H30="","",$H30*$I30)</f>
        <v/>
      </c>
      <c r="O30" s="18" t="n">
        <v>46349</v>
      </c>
      <c r="P30" s="19" t="n">
        <f aca="false">SUMIF($B$8:$B$107,$O30,$J$8:$J$107)</f>
        <v>0</v>
      </c>
    </row>
    <row r="31" customFormat="false" ht="15" hidden="false" customHeight="false" outlineLevel="0" collapsed="false">
      <c r="A31" s="4" t="str">
        <f aca="false">IF($B31="","",ROW()-7)</f>
        <v/>
      </c>
      <c r="J31" s="9" t="str">
        <f aca="false">IF($H31="","",$H31*$I31)</f>
        <v/>
      </c>
      <c r="O31" s="18" t="n">
        <v>46350</v>
      </c>
      <c r="P31" s="19" t="n">
        <f aca="false">SUMIF($B$8:$B$107,$O31,$J$8:$J$107)</f>
        <v>0</v>
      </c>
    </row>
    <row r="32" customFormat="false" ht="15" hidden="false" customHeight="false" outlineLevel="0" collapsed="false">
      <c r="A32" s="4" t="str">
        <f aca="false">IF($B32="","",ROW()-7)</f>
        <v/>
      </c>
      <c r="J32" s="9" t="str">
        <f aca="false">IF($H32="","",$H32*$I32)</f>
        <v/>
      </c>
      <c r="O32" s="18" t="n">
        <v>46351</v>
      </c>
      <c r="P32" s="19" t="n">
        <f aca="false">SUMIF($B$8:$B$107,$O32,$J$8:$J$107)</f>
        <v>0</v>
      </c>
    </row>
    <row r="33" customFormat="false" ht="15" hidden="false" customHeight="false" outlineLevel="0" collapsed="false">
      <c r="A33" s="4" t="str">
        <f aca="false">IF($B33="","",ROW()-7)</f>
        <v/>
      </c>
      <c r="J33" s="9" t="str">
        <f aca="false">IF($H33="","",$H33*$I33)</f>
        <v/>
      </c>
      <c r="O33" s="18" t="n">
        <v>46352</v>
      </c>
      <c r="P33" s="19" t="n">
        <f aca="false">SUMIF($B$8:$B$107,$O33,$J$8:$J$107)</f>
        <v>0</v>
      </c>
    </row>
    <row r="34" customFormat="false" ht="15" hidden="false" customHeight="false" outlineLevel="0" collapsed="false">
      <c r="A34" s="4" t="str">
        <f aca="false">IF($B34="","",ROW()-7)</f>
        <v/>
      </c>
      <c r="J34" s="9" t="str">
        <f aca="false">IF($H34="","",$H34*$I34)</f>
        <v/>
      </c>
      <c r="O34" s="18" t="n">
        <v>46353</v>
      </c>
      <c r="P34" s="19" t="n">
        <f aca="false">SUMIF($B$8:$B$107,$O34,$J$8:$J$107)</f>
        <v>0</v>
      </c>
    </row>
    <row r="35" customFormat="false" ht="15" hidden="false" customHeight="false" outlineLevel="0" collapsed="false">
      <c r="A35" s="4" t="str">
        <f aca="false">IF($B35="","",ROW()-7)</f>
        <v/>
      </c>
      <c r="J35" s="9" t="str">
        <f aca="false">IF($H35="","",$H35*$I35)</f>
        <v/>
      </c>
      <c r="O35" s="18" t="n">
        <v>46354</v>
      </c>
      <c r="P35" s="19" t="n">
        <f aca="false">SUMIF($B$8:$B$107,$O35,$J$8:$J$107)</f>
        <v>0</v>
      </c>
    </row>
    <row r="36" customFormat="false" ht="15" hidden="false" customHeight="false" outlineLevel="0" collapsed="false">
      <c r="A36" s="4" t="str">
        <f aca="false">IF($B36="","",ROW()-7)</f>
        <v/>
      </c>
      <c r="J36" s="9" t="str">
        <f aca="false">IF($H36="","",$H36*$I36)</f>
        <v/>
      </c>
      <c r="O36" s="18" t="n">
        <v>46355</v>
      </c>
      <c r="P36" s="19" t="n">
        <f aca="false">SUMIF($B$8:$B$107,$O36,$J$8:$J$107)</f>
        <v>0</v>
      </c>
    </row>
    <row r="37" customFormat="false" ht="15" hidden="false" customHeight="false" outlineLevel="0" collapsed="false">
      <c r="A37" s="4" t="str">
        <f aca="false">IF($B37="","",ROW()-7)</f>
        <v/>
      </c>
      <c r="J37" s="9" t="str">
        <f aca="false">IF($H37="","",$H37*$I37)</f>
        <v/>
      </c>
      <c r="O37" s="18" t="n">
        <v>46356</v>
      </c>
      <c r="P37" s="19" t="n">
        <f aca="false">SUMIF($B$8:$B$107,$O37,$J$8:$J$107)</f>
        <v>0</v>
      </c>
    </row>
    <row r="38" customFormat="false" ht="15" hidden="false" customHeight="false" outlineLevel="0" collapsed="false">
      <c r="A38" s="4" t="str">
        <f aca="false">IF($B38="","",ROW()-7)</f>
        <v/>
      </c>
      <c r="J38" s="9" t="str">
        <f aca="false">IF($H38="","",$H38*$I38)</f>
        <v/>
      </c>
      <c r="O38" s="20" t="s">
        <v>67</v>
      </c>
      <c r="P38" s="21" t="n">
        <f aca="false">SUM($P$8:$P$37)</f>
        <v>0</v>
      </c>
    </row>
    <row r="39" customFormat="false" ht="15" hidden="false" customHeight="false" outlineLevel="0" collapsed="false">
      <c r="A39" s="4" t="str">
        <f aca="false">IF($B39="","",ROW()-7)</f>
        <v/>
      </c>
      <c r="J39" s="9" t="str">
        <f aca="false">IF($H39="","",$H39*$I39)</f>
        <v/>
      </c>
    </row>
    <row r="40" customFormat="false" ht="15" hidden="false" customHeight="false" outlineLevel="0" collapsed="false">
      <c r="A40" s="4" t="str">
        <f aca="false">IF($B40="","",ROW()-7)</f>
        <v/>
      </c>
      <c r="J40" s="9" t="str">
        <f aca="false">IF($H40="","",$H40*$I40)</f>
        <v/>
      </c>
    </row>
    <row r="41" customFormat="false" ht="15" hidden="false" customHeight="false" outlineLevel="0" collapsed="false">
      <c r="A41" s="4" t="str">
        <f aca="false">IF($B41="","",ROW()-7)</f>
        <v/>
      </c>
      <c r="J41" s="9" t="str">
        <f aca="false">IF($H41="","",$H41*$I41)</f>
        <v/>
      </c>
    </row>
    <row r="42" customFormat="false" ht="15" hidden="false" customHeight="false" outlineLevel="0" collapsed="false">
      <c r="A42" s="4" t="str">
        <f aca="false">IF($B42="","",ROW()-7)</f>
        <v/>
      </c>
      <c r="J42" s="9" t="str">
        <f aca="false">IF($H42="","",$H42*$I42)</f>
        <v/>
      </c>
    </row>
    <row r="43" customFormat="false" ht="15" hidden="false" customHeight="false" outlineLevel="0" collapsed="false">
      <c r="A43" s="4" t="str">
        <f aca="false">IF($B43="","",ROW()-7)</f>
        <v/>
      </c>
      <c r="J43" s="9" t="str">
        <f aca="false">IF($H43="","",$H43*$I43)</f>
        <v/>
      </c>
    </row>
    <row r="44" customFormat="false" ht="15" hidden="false" customHeight="false" outlineLevel="0" collapsed="false">
      <c r="A44" s="4" t="str">
        <f aca="false">IF($B44="","",ROW()-7)</f>
        <v/>
      </c>
      <c r="J44" s="9" t="str">
        <f aca="false">IF($H44="","",$H44*$I44)</f>
        <v/>
      </c>
    </row>
    <row r="45" customFormat="false" ht="15" hidden="false" customHeight="false" outlineLevel="0" collapsed="false">
      <c r="A45" s="4" t="str">
        <f aca="false">IF($B45="","",ROW()-7)</f>
        <v/>
      </c>
      <c r="J45" s="9" t="str">
        <f aca="false">IF($H45="","",$H45*$I45)</f>
        <v/>
      </c>
    </row>
    <row r="46" customFormat="false" ht="15" hidden="false" customHeight="false" outlineLevel="0" collapsed="false">
      <c r="A46" s="4" t="str">
        <f aca="false">IF($B46="","",ROW()-7)</f>
        <v/>
      </c>
      <c r="J46" s="9" t="str">
        <f aca="false">IF($H46="","",$H46*$I46)</f>
        <v/>
      </c>
    </row>
    <row r="47" customFormat="false" ht="15" hidden="false" customHeight="false" outlineLevel="0" collapsed="false">
      <c r="A47" s="4" t="str">
        <f aca="false">IF($B47="","",ROW()-7)</f>
        <v/>
      </c>
      <c r="J47" s="9" t="str">
        <f aca="false">IF($H47="","",$H47*$I47)</f>
        <v/>
      </c>
    </row>
    <row r="48" customFormat="false" ht="15" hidden="false" customHeight="false" outlineLevel="0" collapsed="false">
      <c r="A48" s="4" t="str">
        <f aca="false">IF($B48="","",ROW()-7)</f>
        <v/>
      </c>
      <c r="J48" s="9" t="str">
        <f aca="false">IF($H48="","",$H48*$I48)</f>
        <v/>
      </c>
    </row>
    <row r="49" customFormat="false" ht="15" hidden="false" customHeight="false" outlineLevel="0" collapsed="false">
      <c r="A49" s="4" t="str">
        <f aca="false">IF($B49="","",ROW()-7)</f>
        <v/>
      </c>
      <c r="J49" s="9" t="str">
        <f aca="false">IF($H49="","",$H49*$I49)</f>
        <v/>
      </c>
    </row>
    <row r="50" customFormat="false" ht="15" hidden="false" customHeight="false" outlineLevel="0" collapsed="false">
      <c r="A50" s="4" t="str">
        <f aca="false">IF($B50="","",ROW()-7)</f>
        <v/>
      </c>
      <c r="J50" s="9" t="str">
        <f aca="false">IF($H50="","",$H50*$I50)</f>
        <v/>
      </c>
    </row>
    <row r="51" customFormat="false" ht="15" hidden="false" customHeight="false" outlineLevel="0" collapsed="false">
      <c r="A51" s="4" t="str">
        <f aca="false">IF($B51="","",ROW()-7)</f>
        <v/>
      </c>
      <c r="J51" s="9" t="str">
        <f aca="false">IF($H51="","",$H51*$I51)</f>
        <v/>
      </c>
    </row>
    <row r="52" customFormat="false" ht="15" hidden="false" customHeight="false" outlineLevel="0" collapsed="false">
      <c r="A52" s="4" t="str">
        <f aca="false">IF($B52="","",ROW()-7)</f>
        <v/>
      </c>
      <c r="J52" s="9" t="str">
        <f aca="false">IF($H52="","",$H52*$I52)</f>
        <v/>
      </c>
    </row>
    <row r="53" customFormat="false" ht="15" hidden="false" customHeight="false" outlineLevel="0" collapsed="false">
      <c r="A53" s="4" t="str">
        <f aca="false">IF($B53="","",ROW()-7)</f>
        <v/>
      </c>
      <c r="J53" s="9" t="str">
        <f aca="false">IF($H53="","",$H53*$I53)</f>
        <v/>
      </c>
    </row>
    <row r="54" customFormat="false" ht="15" hidden="false" customHeight="false" outlineLevel="0" collapsed="false">
      <c r="A54" s="4" t="str">
        <f aca="false">IF($B54="","",ROW()-7)</f>
        <v/>
      </c>
      <c r="J54" s="9" t="str">
        <f aca="false">IF($H54="","",$H54*$I54)</f>
        <v/>
      </c>
    </row>
    <row r="55" customFormat="false" ht="15" hidden="false" customHeight="false" outlineLevel="0" collapsed="false">
      <c r="A55" s="4" t="str">
        <f aca="false">IF($B55="","",ROW()-7)</f>
        <v/>
      </c>
      <c r="J55" s="9" t="str">
        <f aca="false">IF($H55="","",$H55*$I55)</f>
        <v/>
      </c>
    </row>
    <row r="56" customFormat="false" ht="15" hidden="false" customHeight="false" outlineLevel="0" collapsed="false">
      <c r="A56" s="4" t="str">
        <f aca="false">IF($B56="","",ROW()-7)</f>
        <v/>
      </c>
      <c r="J56" s="9" t="str">
        <f aca="false">IF($H56="","",$H56*$I56)</f>
        <v/>
      </c>
    </row>
    <row r="57" customFormat="false" ht="15" hidden="false" customHeight="false" outlineLevel="0" collapsed="false">
      <c r="A57" s="4" t="str">
        <f aca="false">IF($B57="","",ROW()-7)</f>
        <v/>
      </c>
      <c r="J57" s="9" t="str">
        <f aca="false">IF($H57="","",$H57*$I57)</f>
        <v/>
      </c>
    </row>
    <row r="58" customFormat="false" ht="15" hidden="false" customHeight="false" outlineLevel="0" collapsed="false">
      <c r="A58" s="4" t="str">
        <f aca="false">IF($B58="","",ROW()-7)</f>
        <v/>
      </c>
      <c r="J58" s="9" t="str">
        <f aca="false">IF($H58="","",$H58*$I58)</f>
        <v/>
      </c>
    </row>
    <row r="59" customFormat="false" ht="15" hidden="false" customHeight="false" outlineLevel="0" collapsed="false">
      <c r="A59" s="4" t="str">
        <f aca="false">IF($B59="","",ROW()-7)</f>
        <v/>
      </c>
      <c r="J59" s="9" t="str">
        <f aca="false">IF($H59="","",$H59*$I59)</f>
        <v/>
      </c>
    </row>
    <row r="60" customFormat="false" ht="15" hidden="false" customHeight="false" outlineLevel="0" collapsed="false">
      <c r="A60" s="4" t="str">
        <f aca="false">IF($B60="","",ROW()-7)</f>
        <v/>
      </c>
      <c r="J60" s="9" t="str">
        <f aca="false">IF($H60="","",$H60*$I60)</f>
        <v/>
      </c>
    </row>
    <row r="61" customFormat="false" ht="15" hidden="false" customHeight="false" outlineLevel="0" collapsed="false">
      <c r="A61" s="4" t="str">
        <f aca="false">IF($B61="","",ROW()-7)</f>
        <v/>
      </c>
      <c r="J61" s="9" t="str">
        <f aca="false">IF($H61="","",$H61*$I61)</f>
        <v/>
      </c>
    </row>
    <row r="62" customFormat="false" ht="15" hidden="false" customHeight="false" outlineLevel="0" collapsed="false">
      <c r="A62" s="4" t="str">
        <f aca="false">IF($B62="","",ROW()-7)</f>
        <v/>
      </c>
      <c r="J62" s="9" t="str">
        <f aca="false">IF($H62="","",$H62*$I62)</f>
        <v/>
      </c>
    </row>
    <row r="63" customFormat="false" ht="15" hidden="false" customHeight="false" outlineLevel="0" collapsed="false">
      <c r="A63" s="4" t="str">
        <f aca="false">IF($B63="","",ROW()-7)</f>
        <v/>
      </c>
      <c r="J63" s="9" t="str">
        <f aca="false">IF($H63="","",$H63*$I63)</f>
        <v/>
      </c>
    </row>
    <row r="64" customFormat="false" ht="15" hidden="false" customHeight="false" outlineLevel="0" collapsed="false">
      <c r="A64" s="4" t="str">
        <f aca="false">IF($B64="","",ROW()-7)</f>
        <v/>
      </c>
      <c r="J64" s="9" t="str">
        <f aca="false">IF($H64="","",$H64*$I64)</f>
        <v/>
      </c>
    </row>
    <row r="65" customFormat="false" ht="15" hidden="false" customHeight="false" outlineLevel="0" collapsed="false">
      <c r="A65" s="4" t="str">
        <f aca="false">IF($B65="","",ROW()-7)</f>
        <v/>
      </c>
      <c r="J65" s="9" t="str">
        <f aca="false">IF($H65="","",$H65*$I65)</f>
        <v/>
      </c>
    </row>
    <row r="66" customFormat="false" ht="15" hidden="false" customHeight="false" outlineLevel="0" collapsed="false">
      <c r="A66" s="4" t="str">
        <f aca="false">IF($B66="","",ROW()-7)</f>
        <v/>
      </c>
      <c r="J66" s="9" t="str">
        <f aca="false">IF($H66="","",$H66*$I66)</f>
        <v/>
      </c>
    </row>
    <row r="67" customFormat="false" ht="15" hidden="false" customHeight="false" outlineLevel="0" collapsed="false">
      <c r="A67" s="4" t="str">
        <f aca="false">IF($B67="","",ROW()-7)</f>
        <v/>
      </c>
      <c r="J67" s="9" t="str">
        <f aca="false">IF($H67="","",$H67*$I67)</f>
        <v/>
      </c>
    </row>
    <row r="68" customFormat="false" ht="15" hidden="false" customHeight="false" outlineLevel="0" collapsed="false">
      <c r="A68" s="4" t="str">
        <f aca="false">IF($B68="","",ROW()-7)</f>
        <v/>
      </c>
      <c r="J68" s="9" t="str">
        <f aca="false">IF($H68="","",$H68*$I68)</f>
        <v/>
      </c>
    </row>
    <row r="69" customFormat="false" ht="15" hidden="false" customHeight="false" outlineLevel="0" collapsed="false">
      <c r="A69" s="4" t="str">
        <f aca="false">IF($B69="","",ROW()-7)</f>
        <v/>
      </c>
      <c r="J69" s="9" t="str">
        <f aca="false">IF($H69="","",$H69*$I69)</f>
        <v/>
      </c>
    </row>
    <row r="70" customFormat="false" ht="15" hidden="false" customHeight="false" outlineLevel="0" collapsed="false">
      <c r="A70" s="4" t="str">
        <f aca="false">IF($B70="","",ROW()-7)</f>
        <v/>
      </c>
      <c r="J70" s="9" t="str">
        <f aca="false">IF($H70="","",$H70*$I70)</f>
        <v/>
      </c>
    </row>
    <row r="71" customFormat="false" ht="15" hidden="false" customHeight="false" outlineLevel="0" collapsed="false">
      <c r="A71" s="4" t="str">
        <f aca="false">IF($B71="","",ROW()-7)</f>
        <v/>
      </c>
      <c r="J71" s="9" t="str">
        <f aca="false">IF($H71="","",$H71*$I71)</f>
        <v/>
      </c>
    </row>
    <row r="72" customFormat="false" ht="15" hidden="false" customHeight="false" outlineLevel="0" collapsed="false">
      <c r="A72" s="4" t="str">
        <f aca="false">IF($B72="","",ROW()-7)</f>
        <v/>
      </c>
      <c r="J72" s="9" t="str">
        <f aca="false">IF($H72="","",$H72*$I72)</f>
        <v/>
      </c>
    </row>
    <row r="73" customFormat="false" ht="15" hidden="false" customHeight="false" outlineLevel="0" collapsed="false">
      <c r="A73" s="4" t="str">
        <f aca="false">IF($B73="","",ROW()-7)</f>
        <v/>
      </c>
      <c r="J73" s="9" t="str">
        <f aca="false">IF($H73="","",$H73*$I73)</f>
        <v/>
      </c>
    </row>
    <row r="74" customFormat="false" ht="15" hidden="false" customHeight="false" outlineLevel="0" collapsed="false">
      <c r="A74" s="4" t="str">
        <f aca="false">IF($B74="","",ROW()-7)</f>
        <v/>
      </c>
      <c r="J74" s="9" t="str">
        <f aca="false">IF($H74="","",$H74*$I74)</f>
        <v/>
      </c>
    </row>
    <row r="75" customFormat="false" ht="15" hidden="false" customHeight="false" outlineLevel="0" collapsed="false">
      <c r="A75" s="4" t="str">
        <f aca="false">IF($B75="","",ROW()-7)</f>
        <v/>
      </c>
      <c r="J75" s="9" t="str">
        <f aca="false">IF($H75="","",$H75*$I75)</f>
        <v/>
      </c>
    </row>
    <row r="76" customFormat="false" ht="15" hidden="false" customHeight="false" outlineLevel="0" collapsed="false">
      <c r="A76" s="4" t="str">
        <f aca="false">IF($B76="","",ROW()-7)</f>
        <v/>
      </c>
      <c r="J76" s="9" t="str">
        <f aca="false">IF($H76="","",$H76*$I76)</f>
        <v/>
      </c>
    </row>
    <row r="77" customFormat="false" ht="15" hidden="false" customHeight="false" outlineLevel="0" collapsed="false">
      <c r="A77" s="4" t="str">
        <f aca="false">IF($B77="","",ROW()-7)</f>
        <v/>
      </c>
      <c r="J77" s="9" t="str">
        <f aca="false">IF($H77="","",$H77*$I77)</f>
        <v/>
      </c>
    </row>
    <row r="78" customFormat="false" ht="15" hidden="false" customHeight="false" outlineLevel="0" collapsed="false">
      <c r="A78" s="4" t="str">
        <f aca="false">IF($B78="","",ROW()-7)</f>
        <v/>
      </c>
      <c r="J78" s="9" t="str">
        <f aca="false">IF($H78="","",$H78*$I78)</f>
        <v/>
      </c>
    </row>
    <row r="79" customFormat="false" ht="15" hidden="false" customHeight="false" outlineLevel="0" collapsed="false">
      <c r="A79" s="4" t="str">
        <f aca="false">IF($B79="","",ROW()-7)</f>
        <v/>
      </c>
      <c r="J79" s="9" t="str">
        <f aca="false">IF($H79="","",$H79*$I79)</f>
        <v/>
      </c>
    </row>
    <row r="80" customFormat="false" ht="15" hidden="false" customHeight="false" outlineLevel="0" collapsed="false">
      <c r="A80" s="4" t="str">
        <f aca="false">IF($B80="","",ROW()-7)</f>
        <v/>
      </c>
      <c r="J80" s="9" t="str">
        <f aca="false">IF($H80="","",$H80*$I80)</f>
        <v/>
      </c>
    </row>
    <row r="81" customFormat="false" ht="15" hidden="false" customHeight="false" outlineLevel="0" collapsed="false">
      <c r="A81" s="4" t="str">
        <f aca="false">IF($B81="","",ROW()-7)</f>
        <v/>
      </c>
      <c r="J81" s="9" t="str">
        <f aca="false">IF($H81="","",$H81*$I81)</f>
        <v/>
      </c>
    </row>
    <row r="82" customFormat="false" ht="15" hidden="false" customHeight="false" outlineLevel="0" collapsed="false">
      <c r="A82" s="4" t="str">
        <f aca="false">IF($B82="","",ROW()-7)</f>
        <v/>
      </c>
      <c r="J82" s="9" t="str">
        <f aca="false">IF($H82="","",$H82*$I82)</f>
        <v/>
      </c>
    </row>
    <row r="83" customFormat="false" ht="15" hidden="false" customHeight="false" outlineLevel="0" collapsed="false">
      <c r="A83" s="4" t="str">
        <f aca="false">IF($B83="","",ROW()-7)</f>
        <v/>
      </c>
      <c r="J83" s="9" t="str">
        <f aca="false">IF($H83="","",$H83*$I83)</f>
        <v/>
      </c>
    </row>
    <row r="84" customFormat="false" ht="15" hidden="false" customHeight="false" outlineLevel="0" collapsed="false">
      <c r="A84" s="4" t="str">
        <f aca="false">IF($B84="","",ROW()-7)</f>
        <v/>
      </c>
      <c r="J84" s="9" t="str">
        <f aca="false">IF($H84="","",$H84*$I84)</f>
        <v/>
      </c>
    </row>
    <row r="85" customFormat="false" ht="15" hidden="false" customHeight="false" outlineLevel="0" collapsed="false">
      <c r="A85" s="4" t="str">
        <f aca="false">IF($B85="","",ROW()-7)</f>
        <v/>
      </c>
      <c r="J85" s="9" t="str">
        <f aca="false">IF($H85="","",$H85*$I85)</f>
        <v/>
      </c>
    </row>
    <row r="86" customFormat="false" ht="15" hidden="false" customHeight="false" outlineLevel="0" collapsed="false">
      <c r="A86" s="4" t="str">
        <f aca="false">IF($B86="","",ROW()-7)</f>
        <v/>
      </c>
      <c r="J86" s="9" t="str">
        <f aca="false">IF($H86="","",$H86*$I86)</f>
        <v/>
      </c>
    </row>
    <row r="87" customFormat="false" ht="15" hidden="false" customHeight="false" outlineLevel="0" collapsed="false">
      <c r="A87" s="4" t="str">
        <f aca="false">IF($B87="","",ROW()-7)</f>
        <v/>
      </c>
      <c r="J87" s="9" t="str">
        <f aca="false">IF($H87="","",$H87*$I87)</f>
        <v/>
      </c>
    </row>
    <row r="88" customFormat="false" ht="15" hidden="false" customHeight="false" outlineLevel="0" collapsed="false">
      <c r="A88" s="4" t="str">
        <f aca="false">IF($B88="","",ROW()-7)</f>
        <v/>
      </c>
      <c r="J88" s="9" t="str">
        <f aca="false">IF($H88="","",$H88*$I88)</f>
        <v/>
      </c>
    </row>
    <row r="89" customFormat="false" ht="15" hidden="false" customHeight="false" outlineLevel="0" collapsed="false">
      <c r="A89" s="4" t="str">
        <f aca="false">IF($B89="","",ROW()-7)</f>
        <v/>
      </c>
      <c r="J89" s="9" t="str">
        <f aca="false">IF($H89="","",$H89*$I89)</f>
        <v/>
      </c>
    </row>
    <row r="90" customFormat="false" ht="15" hidden="false" customHeight="false" outlineLevel="0" collapsed="false">
      <c r="A90" s="4" t="str">
        <f aca="false">IF($B90="","",ROW()-7)</f>
        <v/>
      </c>
      <c r="J90" s="9" t="str">
        <f aca="false">IF($H90="","",$H90*$I90)</f>
        <v/>
      </c>
    </row>
    <row r="91" customFormat="false" ht="15" hidden="false" customHeight="false" outlineLevel="0" collapsed="false">
      <c r="A91" s="4" t="str">
        <f aca="false">IF($B91="","",ROW()-7)</f>
        <v/>
      </c>
      <c r="J91" s="9" t="str">
        <f aca="false">IF($H91="","",$H91*$I91)</f>
        <v/>
      </c>
    </row>
    <row r="92" customFormat="false" ht="15" hidden="false" customHeight="false" outlineLevel="0" collapsed="false">
      <c r="A92" s="4" t="str">
        <f aca="false">IF($B92="","",ROW()-7)</f>
        <v/>
      </c>
      <c r="J92" s="9" t="str">
        <f aca="false">IF($H92="","",$H92*$I92)</f>
        <v/>
      </c>
    </row>
    <row r="93" customFormat="false" ht="15" hidden="false" customHeight="false" outlineLevel="0" collapsed="false">
      <c r="A93" s="4" t="str">
        <f aca="false">IF($B93="","",ROW()-7)</f>
        <v/>
      </c>
      <c r="J93" s="9" t="str">
        <f aca="false">IF($H93="","",$H93*$I93)</f>
        <v/>
      </c>
    </row>
    <row r="94" customFormat="false" ht="15" hidden="false" customHeight="false" outlineLevel="0" collapsed="false">
      <c r="A94" s="4" t="str">
        <f aca="false">IF($B94="","",ROW()-7)</f>
        <v/>
      </c>
      <c r="J94" s="9" t="str">
        <f aca="false">IF($H94="","",$H94*$I94)</f>
        <v/>
      </c>
    </row>
    <row r="95" customFormat="false" ht="15" hidden="false" customHeight="false" outlineLevel="0" collapsed="false">
      <c r="A95" s="4" t="str">
        <f aca="false">IF($B95="","",ROW()-7)</f>
        <v/>
      </c>
      <c r="J95" s="9" t="str">
        <f aca="false">IF($H95="","",$H95*$I95)</f>
        <v/>
      </c>
    </row>
    <row r="96" customFormat="false" ht="15" hidden="false" customHeight="false" outlineLevel="0" collapsed="false">
      <c r="A96" s="4" t="str">
        <f aca="false">IF($B96="","",ROW()-7)</f>
        <v/>
      </c>
      <c r="J96" s="9" t="str">
        <f aca="false">IF($H96="","",$H96*$I96)</f>
        <v/>
      </c>
    </row>
    <row r="97" customFormat="false" ht="15" hidden="false" customHeight="false" outlineLevel="0" collapsed="false">
      <c r="A97" s="4" t="str">
        <f aca="false">IF($B97="","",ROW()-7)</f>
        <v/>
      </c>
      <c r="J97" s="9" t="str">
        <f aca="false">IF($H97="","",$H97*$I97)</f>
        <v/>
      </c>
    </row>
    <row r="98" customFormat="false" ht="15" hidden="false" customHeight="false" outlineLevel="0" collapsed="false">
      <c r="A98" s="4" t="str">
        <f aca="false">IF($B98="","",ROW()-7)</f>
        <v/>
      </c>
      <c r="J98" s="9" t="str">
        <f aca="false">IF($H98="","",$H98*$I98)</f>
        <v/>
      </c>
    </row>
    <row r="99" customFormat="false" ht="15" hidden="false" customHeight="false" outlineLevel="0" collapsed="false">
      <c r="A99" s="4" t="str">
        <f aca="false">IF($B99="","",ROW()-7)</f>
        <v/>
      </c>
      <c r="J99" s="9" t="str">
        <f aca="false">IF($H99="","",$H99*$I99)</f>
        <v/>
      </c>
    </row>
    <row r="100" customFormat="false" ht="15" hidden="false" customHeight="false" outlineLevel="0" collapsed="false">
      <c r="A100" s="4" t="str">
        <f aca="false">IF($B100="","",ROW()-7)</f>
        <v/>
      </c>
      <c r="J100" s="9" t="str">
        <f aca="false">IF($H100="","",$H100*$I100)</f>
        <v/>
      </c>
    </row>
    <row r="101" customFormat="false" ht="15" hidden="false" customHeight="false" outlineLevel="0" collapsed="false">
      <c r="A101" s="4" t="str">
        <f aca="false">IF($B101="","",ROW()-7)</f>
        <v/>
      </c>
      <c r="J101" s="9" t="str">
        <f aca="false">IF($H101="","",$H101*$I101)</f>
        <v/>
      </c>
    </row>
    <row r="102" customFormat="false" ht="15" hidden="false" customHeight="false" outlineLevel="0" collapsed="false">
      <c r="A102" s="4" t="str">
        <f aca="false">IF($B102="","",ROW()-7)</f>
        <v/>
      </c>
      <c r="J102" s="9" t="str">
        <f aca="false">IF($H102="","",$H102*$I102)</f>
        <v/>
      </c>
    </row>
    <row r="103" customFormat="false" ht="15" hidden="false" customHeight="false" outlineLevel="0" collapsed="false">
      <c r="A103" s="4" t="str">
        <f aca="false">IF($B103="","",ROW()-7)</f>
        <v/>
      </c>
      <c r="J103" s="9" t="str">
        <f aca="false">IF($H103="","",$H103*$I103)</f>
        <v/>
      </c>
    </row>
    <row r="104" customFormat="false" ht="15" hidden="false" customHeight="false" outlineLevel="0" collapsed="false">
      <c r="A104" s="4" t="str">
        <f aca="false">IF($B104="","",ROW()-7)</f>
        <v/>
      </c>
      <c r="J104" s="9" t="str">
        <f aca="false">IF($H104="","",$H104*$I104)</f>
        <v/>
      </c>
    </row>
    <row r="105" customFormat="false" ht="15" hidden="false" customHeight="false" outlineLevel="0" collapsed="false">
      <c r="A105" s="4" t="str">
        <f aca="false">IF($B105="","",ROW()-7)</f>
        <v/>
      </c>
      <c r="J105" s="9" t="str">
        <f aca="false">IF($H105="","",$H105*$I105)</f>
        <v/>
      </c>
    </row>
    <row r="106" customFormat="false" ht="15" hidden="false" customHeight="false" outlineLevel="0" collapsed="false">
      <c r="A106" s="4" t="str">
        <f aca="false">IF($B106="","",ROW()-7)</f>
        <v/>
      </c>
      <c r="J106" s="9" t="str">
        <f aca="false">IF($H106="","",$H106*$I106)</f>
        <v/>
      </c>
    </row>
    <row r="107" customFormat="false" ht="15" hidden="false" customHeight="false" outlineLevel="0" collapsed="false">
      <c r="A107" s="4" t="str">
        <f aca="false">IF($B107="","",ROW()-7)</f>
        <v/>
      </c>
      <c r="J107" s="9" t="str">
        <f aca="false">IF($H107="","",$H107*$I107)</f>
        <v/>
      </c>
    </row>
  </sheetData>
  <mergeCells count="5">
    <mergeCell ref="A1:M1"/>
    <mergeCell ref="B3:C3"/>
    <mergeCell ref="B4:C4"/>
    <mergeCell ref="B5:C5"/>
    <mergeCell ref="O6:P6"/>
  </mergeCells>
  <conditionalFormatting sqref="L8:L107">
    <cfRule type="cellIs" priority="2" operator="equal" aboveAverage="0" equalAverage="0" bottom="0" percent="0" rank="0" text="" dxfId="0">
      <formula>"Đã chuyển khoản"</formula>
    </cfRule>
    <cfRule type="cellIs" priority="3" operator="equal" aboveAverage="0" equalAverage="0" bottom="0" percent="0" rank="0" text="" dxfId="1">
      <formula>"Chưa chuyển khoản"</formula>
    </cfRule>
  </conditionalFormatting>
  <dataValidations count="1">
    <dataValidation allowBlank="true" error="Chọn: Đã chuyển khoản hoặc Chưa chuyển khoản" errorStyle="stop" operator="between" showDropDown="false" showErrorMessage="false" showInputMessage="false" sqref="L8:L107" type="list">
      <formula1>"Đã chuyển khoản,Chưa chuyển khoản"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4" width="5"/>
    <col collapsed="false" customWidth="true" hidden="false" outlineLevel="0" max="2" min="2" style="5" width="12"/>
    <col collapsed="false" customWidth="true" hidden="false" outlineLevel="0" max="3" min="3" style="6" width="20"/>
    <col collapsed="false" customWidth="true" hidden="false" outlineLevel="0" max="4" min="4" style="6" width="26"/>
    <col collapsed="false" customWidth="true" hidden="false" outlineLevel="0" max="6" min="5" style="7" width="14"/>
    <col collapsed="false" customWidth="true" hidden="false" outlineLevel="0" max="7" min="7" style="6" width="24"/>
    <col collapsed="false" customWidth="true" hidden="false" outlineLevel="0" max="8" min="8" style="8" width="10"/>
    <col collapsed="false" customWidth="true" hidden="false" outlineLevel="0" max="9" min="9" style="9" width="12"/>
    <col collapsed="false" customWidth="true" hidden="false" outlineLevel="0" max="10" min="10" style="9" width="14"/>
    <col collapsed="false" customWidth="true" hidden="false" outlineLevel="0" max="11" min="11" style="4" width="18"/>
    <col collapsed="false" customWidth="true" hidden="false" outlineLevel="0" max="12" min="12" style="4" width="20"/>
    <col collapsed="false" customWidth="true" hidden="false" outlineLevel="0" max="13" min="13" style="6" width="18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25.5" hidden="false" customHeight="true" outlineLevel="0" collapsed="false">
      <c r="A1" s="10" t="s">
        <v>72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customFormat="false" ht="15" hidden="false" customHeight="true" outlineLevel="0" collapsed="false">
      <c r="B3" s="11" t="s">
        <v>27</v>
      </c>
      <c r="C3" s="11"/>
      <c r="D3" s="12" t="n">
        <f aca="false">SUM($J$8:$J$107)</f>
        <v>0</v>
      </c>
    </row>
    <row r="4" customFormat="false" ht="15" hidden="false" customHeight="true" outlineLevel="0" collapsed="false">
      <c r="B4" s="11" t="s">
        <v>28</v>
      </c>
      <c r="C4" s="11"/>
      <c r="D4" s="12" t="n">
        <f aca="false">SUMIF($L$8:$L$107,"Đã chuyển khoản",$J$8:$J$107)</f>
        <v>0</v>
      </c>
    </row>
    <row r="5" customFormat="false" ht="15" hidden="false" customHeight="true" outlineLevel="0" collapsed="false">
      <c r="B5" s="11" t="s">
        <v>29</v>
      </c>
      <c r="C5" s="11"/>
      <c r="D5" s="12" t="n">
        <f aca="false">SUMIF($L$8:$L$107,"Chưa chuyển khoản",$J$8:$J$107)</f>
        <v>0</v>
      </c>
    </row>
    <row r="6" customFormat="false" ht="15" hidden="false" customHeight="true" outlineLevel="0" collapsed="false">
      <c r="O6" s="13" t="s">
        <v>30</v>
      </c>
      <c r="P6" s="13"/>
    </row>
    <row r="7" customFormat="false" ht="30" hidden="false" customHeight="true" outlineLevel="0" collapsed="false">
      <c r="A7" s="14" t="s">
        <v>31</v>
      </c>
      <c r="B7" s="14" t="s">
        <v>32</v>
      </c>
      <c r="C7" s="14" t="s">
        <v>33</v>
      </c>
      <c r="D7" s="14" t="s">
        <v>34</v>
      </c>
      <c r="E7" s="14" t="s">
        <v>35</v>
      </c>
      <c r="F7" s="14" t="s">
        <v>36</v>
      </c>
      <c r="G7" s="14" t="s">
        <v>37</v>
      </c>
      <c r="H7" s="14" t="s">
        <v>38</v>
      </c>
      <c r="I7" s="14" t="s">
        <v>39</v>
      </c>
      <c r="J7" s="14" t="s">
        <v>40</v>
      </c>
      <c r="K7" s="14" t="s">
        <v>41</v>
      </c>
      <c r="L7" s="14" t="s">
        <v>42</v>
      </c>
      <c r="M7" s="14" t="s">
        <v>43</v>
      </c>
      <c r="O7" s="14" t="s">
        <v>44</v>
      </c>
      <c r="P7" s="14" t="s">
        <v>45</v>
      </c>
    </row>
    <row r="8" customFormat="false" ht="15" hidden="false" customHeight="false" outlineLevel="0" collapsed="false">
      <c r="A8" s="4" t="str">
        <f aca="false">IF($B8="","",ROW()-7)</f>
        <v/>
      </c>
      <c r="J8" s="9" t="str">
        <f aca="false">IF($H8="","",$H8*$I8)</f>
        <v/>
      </c>
      <c r="O8" s="18" t="n">
        <v>46357</v>
      </c>
      <c r="P8" s="19" t="n">
        <f aca="false">SUMIF($B$8:$B$107,$O8,$J$8:$J$107)</f>
        <v>0</v>
      </c>
    </row>
    <row r="9" customFormat="false" ht="15" hidden="false" customHeight="false" outlineLevel="0" collapsed="false">
      <c r="A9" s="4" t="str">
        <f aca="false">IF($B9="","",ROW()-7)</f>
        <v/>
      </c>
      <c r="J9" s="9" t="str">
        <f aca="false">IF($H9="","",$H9*$I9)</f>
        <v/>
      </c>
      <c r="O9" s="18" t="n">
        <v>46358</v>
      </c>
      <c r="P9" s="19" t="n">
        <f aca="false">SUMIF($B$8:$B$107,$O9,$J$8:$J$107)</f>
        <v>0</v>
      </c>
    </row>
    <row r="10" customFormat="false" ht="15" hidden="false" customHeight="false" outlineLevel="0" collapsed="false">
      <c r="A10" s="4" t="str">
        <f aca="false">IF($B10="","",ROW()-7)</f>
        <v/>
      </c>
      <c r="J10" s="9" t="str">
        <f aca="false">IF($H10="","",$H10*$I10)</f>
        <v/>
      </c>
      <c r="O10" s="18" t="n">
        <v>46359</v>
      </c>
      <c r="P10" s="19" t="n">
        <f aca="false">SUMIF($B$8:$B$107,$O10,$J$8:$J$107)</f>
        <v>0</v>
      </c>
    </row>
    <row r="11" customFormat="false" ht="15" hidden="false" customHeight="false" outlineLevel="0" collapsed="false">
      <c r="A11" s="4" t="str">
        <f aca="false">IF($B11="","",ROW()-7)</f>
        <v/>
      </c>
      <c r="J11" s="9" t="str">
        <f aca="false">IF($H11="","",$H11*$I11)</f>
        <v/>
      </c>
      <c r="O11" s="18" t="n">
        <v>46360</v>
      </c>
      <c r="P11" s="19" t="n">
        <f aca="false">SUMIF($B$8:$B$107,$O11,$J$8:$J$107)</f>
        <v>0</v>
      </c>
    </row>
    <row r="12" customFormat="false" ht="15" hidden="false" customHeight="false" outlineLevel="0" collapsed="false">
      <c r="A12" s="4" t="str">
        <f aca="false">IF($B12="","",ROW()-7)</f>
        <v/>
      </c>
      <c r="J12" s="9" t="str">
        <f aca="false">IF($H12="","",$H12*$I12)</f>
        <v/>
      </c>
      <c r="O12" s="18" t="n">
        <v>46361</v>
      </c>
      <c r="P12" s="19" t="n">
        <f aca="false">SUMIF($B$8:$B$107,$O12,$J$8:$J$107)</f>
        <v>0</v>
      </c>
    </row>
    <row r="13" customFormat="false" ht="15" hidden="false" customHeight="false" outlineLevel="0" collapsed="false">
      <c r="A13" s="4" t="str">
        <f aca="false">IF($B13="","",ROW()-7)</f>
        <v/>
      </c>
      <c r="J13" s="9" t="str">
        <f aca="false">IF($H13="","",$H13*$I13)</f>
        <v/>
      </c>
      <c r="O13" s="18" t="n">
        <v>46362</v>
      </c>
      <c r="P13" s="19" t="n">
        <f aca="false">SUMIF($B$8:$B$107,$O13,$J$8:$J$107)</f>
        <v>0</v>
      </c>
    </row>
    <row r="14" customFormat="false" ht="15" hidden="false" customHeight="false" outlineLevel="0" collapsed="false">
      <c r="A14" s="4" t="str">
        <f aca="false">IF($B14="","",ROW()-7)</f>
        <v/>
      </c>
      <c r="J14" s="9" t="str">
        <f aca="false">IF($H14="","",$H14*$I14)</f>
        <v/>
      </c>
      <c r="O14" s="18" t="n">
        <v>46363</v>
      </c>
      <c r="P14" s="19" t="n">
        <f aca="false">SUMIF($B$8:$B$107,$O14,$J$8:$J$107)</f>
        <v>0</v>
      </c>
    </row>
    <row r="15" customFormat="false" ht="15" hidden="false" customHeight="false" outlineLevel="0" collapsed="false">
      <c r="A15" s="4" t="str">
        <f aca="false">IF($B15="","",ROW()-7)</f>
        <v/>
      </c>
      <c r="J15" s="9" t="str">
        <f aca="false">IF($H15="","",$H15*$I15)</f>
        <v/>
      </c>
      <c r="O15" s="18" t="n">
        <v>46364</v>
      </c>
      <c r="P15" s="19" t="n">
        <f aca="false">SUMIF($B$8:$B$107,$O15,$J$8:$J$107)</f>
        <v>0</v>
      </c>
    </row>
    <row r="16" customFormat="false" ht="15" hidden="false" customHeight="false" outlineLevel="0" collapsed="false">
      <c r="A16" s="4" t="str">
        <f aca="false">IF($B16="","",ROW()-7)</f>
        <v/>
      </c>
      <c r="J16" s="9" t="str">
        <f aca="false">IF($H16="","",$H16*$I16)</f>
        <v/>
      </c>
      <c r="O16" s="18" t="n">
        <v>46365</v>
      </c>
      <c r="P16" s="19" t="n">
        <f aca="false">SUMIF($B$8:$B$107,$O16,$J$8:$J$107)</f>
        <v>0</v>
      </c>
    </row>
    <row r="17" customFormat="false" ht="15" hidden="false" customHeight="false" outlineLevel="0" collapsed="false">
      <c r="A17" s="4" t="str">
        <f aca="false">IF($B17="","",ROW()-7)</f>
        <v/>
      </c>
      <c r="J17" s="9" t="str">
        <f aca="false">IF($H17="","",$H17*$I17)</f>
        <v/>
      </c>
      <c r="O17" s="18" t="n">
        <v>46366</v>
      </c>
      <c r="P17" s="19" t="n">
        <f aca="false">SUMIF($B$8:$B$107,$O17,$J$8:$J$107)</f>
        <v>0</v>
      </c>
    </row>
    <row r="18" customFormat="false" ht="15" hidden="false" customHeight="false" outlineLevel="0" collapsed="false">
      <c r="A18" s="4" t="str">
        <f aca="false">IF($B18="","",ROW()-7)</f>
        <v/>
      </c>
      <c r="J18" s="9" t="str">
        <f aca="false">IF($H18="","",$H18*$I18)</f>
        <v/>
      </c>
      <c r="O18" s="18" t="n">
        <v>46367</v>
      </c>
      <c r="P18" s="19" t="n">
        <f aca="false">SUMIF($B$8:$B$107,$O18,$J$8:$J$107)</f>
        <v>0</v>
      </c>
    </row>
    <row r="19" customFormat="false" ht="15" hidden="false" customHeight="false" outlineLevel="0" collapsed="false">
      <c r="A19" s="4" t="str">
        <f aca="false">IF($B19="","",ROW()-7)</f>
        <v/>
      </c>
      <c r="J19" s="9" t="str">
        <f aca="false">IF($H19="","",$H19*$I19)</f>
        <v/>
      </c>
      <c r="O19" s="18" t="n">
        <v>46368</v>
      </c>
      <c r="P19" s="19" t="n">
        <f aca="false">SUMIF($B$8:$B$107,$O19,$J$8:$J$107)</f>
        <v>0</v>
      </c>
    </row>
    <row r="20" customFormat="false" ht="15" hidden="false" customHeight="false" outlineLevel="0" collapsed="false">
      <c r="A20" s="4" t="str">
        <f aca="false">IF($B20="","",ROW()-7)</f>
        <v/>
      </c>
      <c r="J20" s="9" t="str">
        <f aca="false">IF($H20="","",$H20*$I20)</f>
        <v/>
      </c>
      <c r="O20" s="18" t="n">
        <v>46369</v>
      </c>
      <c r="P20" s="19" t="n">
        <f aca="false">SUMIF($B$8:$B$107,$O20,$J$8:$J$107)</f>
        <v>0</v>
      </c>
    </row>
    <row r="21" customFormat="false" ht="15" hidden="false" customHeight="false" outlineLevel="0" collapsed="false">
      <c r="A21" s="4" t="str">
        <f aca="false">IF($B21="","",ROW()-7)</f>
        <v/>
      </c>
      <c r="J21" s="9" t="str">
        <f aca="false">IF($H21="","",$H21*$I21)</f>
        <v/>
      </c>
      <c r="O21" s="18" t="n">
        <v>46370</v>
      </c>
      <c r="P21" s="19" t="n">
        <f aca="false">SUMIF($B$8:$B$107,$O21,$J$8:$J$107)</f>
        <v>0</v>
      </c>
    </row>
    <row r="22" customFormat="false" ht="15" hidden="false" customHeight="false" outlineLevel="0" collapsed="false">
      <c r="A22" s="4" t="str">
        <f aca="false">IF($B22="","",ROW()-7)</f>
        <v/>
      </c>
      <c r="J22" s="9" t="str">
        <f aca="false">IF($H22="","",$H22*$I22)</f>
        <v/>
      </c>
      <c r="O22" s="18" t="n">
        <v>46371</v>
      </c>
      <c r="P22" s="19" t="n">
        <f aca="false">SUMIF($B$8:$B$107,$O22,$J$8:$J$107)</f>
        <v>0</v>
      </c>
    </row>
    <row r="23" customFormat="false" ht="15" hidden="false" customHeight="false" outlineLevel="0" collapsed="false">
      <c r="A23" s="4" t="str">
        <f aca="false">IF($B23="","",ROW()-7)</f>
        <v/>
      </c>
      <c r="J23" s="9" t="str">
        <f aca="false">IF($H23="","",$H23*$I23)</f>
        <v/>
      </c>
      <c r="O23" s="18" t="n">
        <v>46372</v>
      </c>
      <c r="P23" s="19" t="n">
        <f aca="false">SUMIF($B$8:$B$107,$O23,$J$8:$J$107)</f>
        <v>0</v>
      </c>
    </row>
    <row r="24" customFormat="false" ht="15" hidden="false" customHeight="false" outlineLevel="0" collapsed="false">
      <c r="A24" s="4" t="str">
        <f aca="false">IF($B24="","",ROW()-7)</f>
        <v/>
      </c>
      <c r="J24" s="9" t="str">
        <f aca="false">IF($H24="","",$H24*$I24)</f>
        <v/>
      </c>
      <c r="O24" s="18" t="n">
        <v>46373</v>
      </c>
      <c r="P24" s="19" t="n">
        <f aca="false">SUMIF($B$8:$B$107,$O24,$J$8:$J$107)</f>
        <v>0</v>
      </c>
    </row>
    <row r="25" customFormat="false" ht="15" hidden="false" customHeight="false" outlineLevel="0" collapsed="false">
      <c r="A25" s="4" t="str">
        <f aca="false">IF($B25="","",ROW()-7)</f>
        <v/>
      </c>
      <c r="J25" s="9" t="str">
        <f aca="false">IF($H25="","",$H25*$I25)</f>
        <v/>
      </c>
      <c r="O25" s="18" t="n">
        <v>46374</v>
      </c>
      <c r="P25" s="19" t="n">
        <f aca="false">SUMIF($B$8:$B$107,$O25,$J$8:$J$107)</f>
        <v>0</v>
      </c>
    </row>
    <row r="26" customFormat="false" ht="15" hidden="false" customHeight="false" outlineLevel="0" collapsed="false">
      <c r="A26" s="4" t="str">
        <f aca="false">IF($B26="","",ROW()-7)</f>
        <v/>
      </c>
      <c r="J26" s="9" t="str">
        <f aca="false">IF($H26="","",$H26*$I26)</f>
        <v/>
      </c>
      <c r="O26" s="18" t="n">
        <v>46375</v>
      </c>
      <c r="P26" s="19" t="n">
        <f aca="false">SUMIF($B$8:$B$107,$O26,$J$8:$J$107)</f>
        <v>0</v>
      </c>
    </row>
    <row r="27" customFormat="false" ht="15" hidden="false" customHeight="false" outlineLevel="0" collapsed="false">
      <c r="A27" s="4" t="str">
        <f aca="false">IF($B27="","",ROW()-7)</f>
        <v/>
      </c>
      <c r="J27" s="9" t="str">
        <f aca="false">IF($H27="","",$H27*$I27)</f>
        <v/>
      </c>
      <c r="O27" s="18" t="n">
        <v>46376</v>
      </c>
      <c r="P27" s="19" t="n">
        <f aca="false">SUMIF($B$8:$B$107,$O27,$J$8:$J$107)</f>
        <v>0</v>
      </c>
    </row>
    <row r="28" customFormat="false" ht="15" hidden="false" customHeight="false" outlineLevel="0" collapsed="false">
      <c r="A28" s="4" t="str">
        <f aca="false">IF($B28="","",ROW()-7)</f>
        <v/>
      </c>
      <c r="J28" s="9" t="str">
        <f aca="false">IF($H28="","",$H28*$I28)</f>
        <v/>
      </c>
      <c r="O28" s="18" t="n">
        <v>46377</v>
      </c>
      <c r="P28" s="19" t="n">
        <f aca="false">SUMIF($B$8:$B$107,$O28,$J$8:$J$107)</f>
        <v>0</v>
      </c>
    </row>
    <row r="29" customFormat="false" ht="15" hidden="false" customHeight="false" outlineLevel="0" collapsed="false">
      <c r="A29" s="4" t="str">
        <f aca="false">IF($B29="","",ROW()-7)</f>
        <v/>
      </c>
      <c r="J29" s="9" t="str">
        <f aca="false">IF($H29="","",$H29*$I29)</f>
        <v/>
      </c>
      <c r="O29" s="18" t="n">
        <v>46378</v>
      </c>
      <c r="P29" s="19" t="n">
        <f aca="false">SUMIF($B$8:$B$107,$O29,$J$8:$J$107)</f>
        <v>0</v>
      </c>
    </row>
    <row r="30" customFormat="false" ht="15" hidden="false" customHeight="false" outlineLevel="0" collapsed="false">
      <c r="A30" s="4" t="str">
        <f aca="false">IF($B30="","",ROW()-7)</f>
        <v/>
      </c>
      <c r="J30" s="9" t="str">
        <f aca="false">IF($H30="","",$H30*$I30)</f>
        <v/>
      </c>
      <c r="O30" s="18" t="n">
        <v>46379</v>
      </c>
      <c r="P30" s="19" t="n">
        <f aca="false">SUMIF($B$8:$B$107,$O30,$J$8:$J$107)</f>
        <v>0</v>
      </c>
    </row>
    <row r="31" customFormat="false" ht="15" hidden="false" customHeight="false" outlineLevel="0" collapsed="false">
      <c r="A31" s="4" t="str">
        <f aca="false">IF($B31="","",ROW()-7)</f>
        <v/>
      </c>
      <c r="J31" s="9" t="str">
        <f aca="false">IF($H31="","",$H31*$I31)</f>
        <v/>
      </c>
      <c r="O31" s="18" t="n">
        <v>46380</v>
      </c>
      <c r="P31" s="19" t="n">
        <f aca="false">SUMIF($B$8:$B$107,$O31,$J$8:$J$107)</f>
        <v>0</v>
      </c>
    </row>
    <row r="32" customFormat="false" ht="15" hidden="false" customHeight="false" outlineLevel="0" collapsed="false">
      <c r="A32" s="4" t="str">
        <f aca="false">IF($B32="","",ROW()-7)</f>
        <v/>
      </c>
      <c r="J32" s="9" t="str">
        <f aca="false">IF($H32="","",$H32*$I32)</f>
        <v/>
      </c>
      <c r="O32" s="18" t="n">
        <v>46381</v>
      </c>
      <c r="P32" s="19" t="n">
        <f aca="false">SUMIF($B$8:$B$107,$O32,$J$8:$J$107)</f>
        <v>0</v>
      </c>
    </row>
    <row r="33" customFormat="false" ht="15" hidden="false" customHeight="false" outlineLevel="0" collapsed="false">
      <c r="A33" s="4" t="str">
        <f aca="false">IF($B33="","",ROW()-7)</f>
        <v/>
      </c>
      <c r="J33" s="9" t="str">
        <f aca="false">IF($H33="","",$H33*$I33)</f>
        <v/>
      </c>
      <c r="O33" s="18" t="n">
        <v>46382</v>
      </c>
      <c r="P33" s="19" t="n">
        <f aca="false">SUMIF($B$8:$B$107,$O33,$J$8:$J$107)</f>
        <v>0</v>
      </c>
    </row>
    <row r="34" customFormat="false" ht="15" hidden="false" customHeight="false" outlineLevel="0" collapsed="false">
      <c r="A34" s="4" t="str">
        <f aca="false">IF($B34="","",ROW()-7)</f>
        <v/>
      </c>
      <c r="J34" s="9" t="str">
        <f aca="false">IF($H34="","",$H34*$I34)</f>
        <v/>
      </c>
      <c r="O34" s="18" t="n">
        <v>46383</v>
      </c>
      <c r="P34" s="19" t="n">
        <f aca="false">SUMIF($B$8:$B$107,$O34,$J$8:$J$107)</f>
        <v>0</v>
      </c>
    </row>
    <row r="35" customFormat="false" ht="15" hidden="false" customHeight="false" outlineLevel="0" collapsed="false">
      <c r="A35" s="4" t="str">
        <f aca="false">IF($B35="","",ROW()-7)</f>
        <v/>
      </c>
      <c r="J35" s="9" t="str">
        <f aca="false">IF($H35="","",$H35*$I35)</f>
        <v/>
      </c>
      <c r="O35" s="18" t="n">
        <v>46384</v>
      </c>
      <c r="P35" s="19" t="n">
        <f aca="false">SUMIF($B$8:$B$107,$O35,$J$8:$J$107)</f>
        <v>0</v>
      </c>
    </row>
    <row r="36" customFormat="false" ht="15" hidden="false" customHeight="false" outlineLevel="0" collapsed="false">
      <c r="A36" s="4" t="str">
        <f aca="false">IF($B36="","",ROW()-7)</f>
        <v/>
      </c>
      <c r="J36" s="9" t="str">
        <f aca="false">IF($H36="","",$H36*$I36)</f>
        <v/>
      </c>
      <c r="O36" s="18" t="n">
        <v>46385</v>
      </c>
      <c r="P36" s="19" t="n">
        <f aca="false">SUMIF($B$8:$B$107,$O36,$J$8:$J$107)</f>
        <v>0</v>
      </c>
    </row>
    <row r="37" customFormat="false" ht="15" hidden="false" customHeight="false" outlineLevel="0" collapsed="false">
      <c r="A37" s="4" t="str">
        <f aca="false">IF($B37="","",ROW()-7)</f>
        <v/>
      </c>
      <c r="J37" s="9" t="str">
        <f aca="false">IF($H37="","",$H37*$I37)</f>
        <v/>
      </c>
      <c r="O37" s="18" t="n">
        <v>46386</v>
      </c>
      <c r="P37" s="19" t="n">
        <f aca="false">SUMIF($B$8:$B$107,$O37,$J$8:$J$107)</f>
        <v>0</v>
      </c>
    </row>
    <row r="38" customFormat="false" ht="15" hidden="false" customHeight="false" outlineLevel="0" collapsed="false">
      <c r="A38" s="4" t="str">
        <f aca="false">IF($B38="","",ROW()-7)</f>
        <v/>
      </c>
      <c r="J38" s="9" t="str">
        <f aca="false">IF($H38="","",$H38*$I38)</f>
        <v/>
      </c>
      <c r="O38" s="18" t="n">
        <v>46387</v>
      </c>
      <c r="P38" s="19" t="n">
        <f aca="false">SUMIF($B$8:$B$107,$O38,$J$8:$J$107)</f>
        <v>0</v>
      </c>
    </row>
    <row r="39" customFormat="false" ht="15" hidden="false" customHeight="false" outlineLevel="0" collapsed="false">
      <c r="A39" s="4" t="str">
        <f aca="false">IF($B39="","",ROW()-7)</f>
        <v/>
      </c>
      <c r="J39" s="9" t="str">
        <f aca="false">IF($H39="","",$H39*$I39)</f>
        <v/>
      </c>
      <c r="O39" s="20" t="s">
        <v>67</v>
      </c>
      <c r="P39" s="21" t="n">
        <f aca="false">SUM($P$8:$P$38)</f>
        <v>0</v>
      </c>
    </row>
    <row r="40" customFormat="false" ht="15" hidden="false" customHeight="false" outlineLevel="0" collapsed="false">
      <c r="A40" s="4" t="str">
        <f aca="false">IF($B40="","",ROW()-7)</f>
        <v/>
      </c>
      <c r="J40" s="9" t="str">
        <f aca="false">IF($H40="","",$H40*$I40)</f>
        <v/>
      </c>
    </row>
    <row r="41" customFormat="false" ht="15" hidden="false" customHeight="false" outlineLevel="0" collapsed="false">
      <c r="A41" s="4" t="str">
        <f aca="false">IF($B41="","",ROW()-7)</f>
        <v/>
      </c>
      <c r="J41" s="9" t="str">
        <f aca="false">IF($H41="","",$H41*$I41)</f>
        <v/>
      </c>
    </row>
    <row r="42" customFormat="false" ht="15" hidden="false" customHeight="false" outlineLevel="0" collapsed="false">
      <c r="A42" s="4" t="str">
        <f aca="false">IF($B42="","",ROW()-7)</f>
        <v/>
      </c>
      <c r="J42" s="9" t="str">
        <f aca="false">IF($H42="","",$H42*$I42)</f>
        <v/>
      </c>
    </row>
    <row r="43" customFormat="false" ht="15" hidden="false" customHeight="false" outlineLevel="0" collapsed="false">
      <c r="A43" s="4" t="str">
        <f aca="false">IF($B43="","",ROW()-7)</f>
        <v/>
      </c>
      <c r="J43" s="9" t="str">
        <f aca="false">IF($H43="","",$H43*$I43)</f>
        <v/>
      </c>
    </row>
    <row r="44" customFormat="false" ht="15" hidden="false" customHeight="false" outlineLevel="0" collapsed="false">
      <c r="A44" s="4" t="str">
        <f aca="false">IF($B44="","",ROW()-7)</f>
        <v/>
      </c>
      <c r="J44" s="9" t="str">
        <f aca="false">IF($H44="","",$H44*$I44)</f>
        <v/>
      </c>
    </row>
    <row r="45" customFormat="false" ht="15" hidden="false" customHeight="false" outlineLevel="0" collapsed="false">
      <c r="A45" s="4" t="str">
        <f aca="false">IF($B45="","",ROW()-7)</f>
        <v/>
      </c>
      <c r="J45" s="9" t="str">
        <f aca="false">IF($H45="","",$H45*$I45)</f>
        <v/>
      </c>
    </row>
    <row r="46" customFormat="false" ht="15" hidden="false" customHeight="false" outlineLevel="0" collapsed="false">
      <c r="A46" s="4" t="str">
        <f aca="false">IF($B46="","",ROW()-7)</f>
        <v/>
      </c>
      <c r="J46" s="9" t="str">
        <f aca="false">IF($H46="","",$H46*$I46)</f>
        <v/>
      </c>
    </row>
    <row r="47" customFormat="false" ht="15" hidden="false" customHeight="false" outlineLevel="0" collapsed="false">
      <c r="A47" s="4" t="str">
        <f aca="false">IF($B47="","",ROW()-7)</f>
        <v/>
      </c>
      <c r="J47" s="9" t="str">
        <f aca="false">IF($H47="","",$H47*$I47)</f>
        <v/>
      </c>
    </row>
    <row r="48" customFormat="false" ht="15" hidden="false" customHeight="false" outlineLevel="0" collapsed="false">
      <c r="A48" s="4" t="str">
        <f aca="false">IF($B48="","",ROW()-7)</f>
        <v/>
      </c>
      <c r="J48" s="9" t="str">
        <f aca="false">IF($H48="","",$H48*$I48)</f>
        <v/>
      </c>
    </row>
    <row r="49" customFormat="false" ht="15" hidden="false" customHeight="false" outlineLevel="0" collapsed="false">
      <c r="A49" s="4" t="str">
        <f aca="false">IF($B49="","",ROW()-7)</f>
        <v/>
      </c>
      <c r="J49" s="9" t="str">
        <f aca="false">IF($H49="","",$H49*$I49)</f>
        <v/>
      </c>
    </row>
    <row r="50" customFormat="false" ht="15" hidden="false" customHeight="false" outlineLevel="0" collapsed="false">
      <c r="A50" s="4" t="str">
        <f aca="false">IF($B50="","",ROW()-7)</f>
        <v/>
      </c>
      <c r="J50" s="9" t="str">
        <f aca="false">IF($H50="","",$H50*$I50)</f>
        <v/>
      </c>
    </row>
    <row r="51" customFormat="false" ht="15" hidden="false" customHeight="false" outlineLevel="0" collapsed="false">
      <c r="A51" s="4" t="str">
        <f aca="false">IF($B51="","",ROW()-7)</f>
        <v/>
      </c>
      <c r="J51" s="9" t="str">
        <f aca="false">IF($H51="","",$H51*$I51)</f>
        <v/>
      </c>
    </row>
    <row r="52" customFormat="false" ht="15" hidden="false" customHeight="false" outlineLevel="0" collapsed="false">
      <c r="A52" s="4" t="str">
        <f aca="false">IF($B52="","",ROW()-7)</f>
        <v/>
      </c>
      <c r="J52" s="9" t="str">
        <f aca="false">IF($H52="","",$H52*$I52)</f>
        <v/>
      </c>
    </row>
    <row r="53" customFormat="false" ht="15" hidden="false" customHeight="false" outlineLevel="0" collapsed="false">
      <c r="A53" s="4" t="str">
        <f aca="false">IF($B53="","",ROW()-7)</f>
        <v/>
      </c>
      <c r="J53" s="9" t="str">
        <f aca="false">IF($H53="","",$H53*$I53)</f>
        <v/>
      </c>
    </row>
    <row r="54" customFormat="false" ht="15" hidden="false" customHeight="false" outlineLevel="0" collapsed="false">
      <c r="A54" s="4" t="str">
        <f aca="false">IF($B54="","",ROW()-7)</f>
        <v/>
      </c>
      <c r="J54" s="9" t="str">
        <f aca="false">IF($H54="","",$H54*$I54)</f>
        <v/>
      </c>
    </row>
    <row r="55" customFormat="false" ht="15" hidden="false" customHeight="false" outlineLevel="0" collapsed="false">
      <c r="A55" s="4" t="str">
        <f aca="false">IF($B55="","",ROW()-7)</f>
        <v/>
      </c>
      <c r="J55" s="9" t="str">
        <f aca="false">IF($H55="","",$H55*$I55)</f>
        <v/>
      </c>
    </row>
    <row r="56" customFormat="false" ht="15" hidden="false" customHeight="false" outlineLevel="0" collapsed="false">
      <c r="A56" s="4" t="str">
        <f aca="false">IF($B56="","",ROW()-7)</f>
        <v/>
      </c>
      <c r="J56" s="9" t="str">
        <f aca="false">IF($H56="","",$H56*$I56)</f>
        <v/>
      </c>
    </row>
    <row r="57" customFormat="false" ht="15" hidden="false" customHeight="false" outlineLevel="0" collapsed="false">
      <c r="A57" s="4" t="str">
        <f aca="false">IF($B57="","",ROW()-7)</f>
        <v/>
      </c>
      <c r="J57" s="9" t="str">
        <f aca="false">IF($H57="","",$H57*$I57)</f>
        <v/>
      </c>
    </row>
    <row r="58" customFormat="false" ht="15" hidden="false" customHeight="false" outlineLevel="0" collapsed="false">
      <c r="A58" s="4" t="str">
        <f aca="false">IF($B58="","",ROW()-7)</f>
        <v/>
      </c>
      <c r="J58" s="9" t="str">
        <f aca="false">IF($H58="","",$H58*$I58)</f>
        <v/>
      </c>
    </row>
    <row r="59" customFormat="false" ht="15" hidden="false" customHeight="false" outlineLevel="0" collapsed="false">
      <c r="A59" s="4" t="str">
        <f aca="false">IF($B59="","",ROW()-7)</f>
        <v/>
      </c>
      <c r="J59" s="9" t="str">
        <f aca="false">IF($H59="","",$H59*$I59)</f>
        <v/>
      </c>
    </row>
    <row r="60" customFormat="false" ht="15" hidden="false" customHeight="false" outlineLevel="0" collapsed="false">
      <c r="A60" s="4" t="str">
        <f aca="false">IF($B60="","",ROW()-7)</f>
        <v/>
      </c>
      <c r="J60" s="9" t="str">
        <f aca="false">IF($H60="","",$H60*$I60)</f>
        <v/>
      </c>
    </row>
    <row r="61" customFormat="false" ht="15" hidden="false" customHeight="false" outlineLevel="0" collapsed="false">
      <c r="A61" s="4" t="str">
        <f aca="false">IF($B61="","",ROW()-7)</f>
        <v/>
      </c>
      <c r="J61" s="9" t="str">
        <f aca="false">IF($H61="","",$H61*$I61)</f>
        <v/>
      </c>
    </row>
    <row r="62" customFormat="false" ht="15" hidden="false" customHeight="false" outlineLevel="0" collapsed="false">
      <c r="A62" s="4" t="str">
        <f aca="false">IF($B62="","",ROW()-7)</f>
        <v/>
      </c>
      <c r="J62" s="9" t="str">
        <f aca="false">IF($H62="","",$H62*$I62)</f>
        <v/>
      </c>
    </row>
    <row r="63" customFormat="false" ht="15" hidden="false" customHeight="false" outlineLevel="0" collapsed="false">
      <c r="A63" s="4" t="str">
        <f aca="false">IF($B63="","",ROW()-7)</f>
        <v/>
      </c>
      <c r="J63" s="9" t="str">
        <f aca="false">IF($H63="","",$H63*$I63)</f>
        <v/>
      </c>
    </row>
    <row r="64" customFormat="false" ht="15" hidden="false" customHeight="false" outlineLevel="0" collapsed="false">
      <c r="A64" s="4" t="str">
        <f aca="false">IF($B64="","",ROW()-7)</f>
        <v/>
      </c>
      <c r="J64" s="9" t="str">
        <f aca="false">IF($H64="","",$H64*$I64)</f>
        <v/>
      </c>
    </row>
    <row r="65" customFormat="false" ht="15" hidden="false" customHeight="false" outlineLevel="0" collapsed="false">
      <c r="A65" s="4" t="str">
        <f aca="false">IF($B65="","",ROW()-7)</f>
        <v/>
      </c>
      <c r="J65" s="9" t="str">
        <f aca="false">IF($H65="","",$H65*$I65)</f>
        <v/>
      </c>
    </row>
    <row r="66" customFormat="false" ht="15" hidden="false" customHeight="false" outlineLevel="0" collapsed="false">
      <c r="A66" s="4" t="str">
        <f aca="false">IF($B66="","",ROW()-7)</f>
        <v/>
      </c>
      <c r="J66" s="9" t="str">
        <f aca="false">IF($H66="","",$H66*$I66)</f>
        <v/>
      </c>
    </row>
    <row r="67" customFormat="false" ht="15" hidden="false" customHeight="false" outlineLevel="0" collapsed="false">
      <c r="A67" s="4" t="str">
        <f aca="false">IF($B67="","",ROW()-7)</f>
        <v/>
      </c>
      <c r="J67" s="9" t="str">
        <f aca="false">IF($H67="","",$H67*$I67)</f>
        <v/>
      </c>
    </row>
    <row r="68" customFormat="false" ht="15" hidden="false" customHeight="false" outlineLevel="0" collapsed="false">
      <c r="A68" s="4" t="str">
        <f aca="false">IF($B68="","",ROW()-7)</f>
        <v/>
      </c>
      <c r="J68" s="9" t="str">
        <f aca="false">IF($H68="","",$H68*$I68)</f>
        <v/>
      </c>
    </row>
    <row r="69" customFormat="false" ht="15" hidden="false" customHeight="false" outlineLevel="0" collapsed="false">
      <c r="A69" s="4" t="str">
        <f aca="false">IF($B69="","",ROW()-7)</f>
        <v/>
      </c>
      <c r="J69" s="9" t="str">
        <f aca="false">IF($H69="","",$H69*$I69)</f>
        <v/>
      </c>
    </row>
    <row r="70" customFormat="false" ht="15" hidden="false" customHeight="false" outlineLevel="0" collapsed="false">
      <c r="A70" s="4" t="str">
        <f aca="false">IF($B70="","",ROW()-7)</f>
        <v/>
      </c>
      <c r="J70" s="9" t="str">
        <f aca="false">IF($H70="","",$H70*$I70)</f>
        <v/>
      </c>
    </row>
    <row r="71" customFormat="false" ht="15" hidden="false" customHeight="false" outlineLevel="0" collapsed="false">
      <c r="A71" s="4" t="str">
        <f aca="false">IF($B71="","",ROW()-7)</f>
        <v/>
      </c>
      <c r="J71" s="9" t="str">
        <f aca="false">IF($H71="","",$H71*$I71)</f>
        <v/>
      </c>
    </row>
    <row r="72" customFormat="false" ht="15" hidden="false" customHeight="false" outlineLevel="0" collapsed="false">
      <c r="A72" s="4" t="str">
        <f aca="false">IF($B72="","",ROW()-7)</f>
        <v/>
      </c>
      <c r="J72" s="9" t="str">
        <f aca="false">IF($H72="","",$H72*$I72)</f>
        <v/>
      </c>
    </row>
    <row r="73" customFormat="false" ht="15" hidden="false" customHeight="false" outlineLevel="0" collapsed="false">
      <c r="A73" s="4" t="str">
        <f aca="false">IF($B73="","",ROW()-7)</f>
        <v/>
      </c>
      <c r="J73" s="9" t="str">
        <f aca="false">IF($H73="","",$H73*$I73)</f>
        <v/>
      </c>
    </row>
    <row r="74" customFormat="false" ht="15" hidden="false" customHeight="false" outlineLevel="0" collapsed="false">
      <c r="A74" s="4" t="str">
        <f aca="false">IF($B74="","",ROW()-7)</f>
        <v/>
      </c>
      <c r="J74" s="9" t="str">
        <f aca="false">IF($H74="","",$H74*$I74)</f>
        <v/>
      </c>
    </row>
    <row r="75" customFormat="false" ht="15" hidden="false" customHeight="false" outlineLevel="0" collapsed="false">
      <c r="A75" s="4" t="str">
        <f aca="false">IF($B75="","",ROW()-7)</f>
        <v/>
      </c>
      <c r="J75" s="9" t="str">
        <f aca="false">IF($H75="","",$H75*$I75)</f>
        <v/>
      </c>
    </row>
    <row r="76" customFormat="false" ht="15" hidden="false" customHeight="false" outlineLevel="0" collapsed="false">
      <c r="A76" s="4" t="str">
        <f aca="false">IF($B76="","",ROW()-7)</f>
        <v/>
      </c>
      <c r="J76" s="9" t="str">
        <f aca="false">IF($H76="","",$H76*$I76)</f>
        <v/>
      </c>
    </row>
    <row r="77" customFormat="false" ht="15" hidden="false" customHeight="false" outlineLevel="0" collapsed="false">
      <c r="A77" s="4" t="str">
        <f aca="false">IF($B77="","",ROW()-7)</f>
        <v/>
      </c>
      <c r="J77" s="9" t="str">
        <f aca="false">IF($H77="","",$H77*$I77)</f>
        <v/>
      </c>
    </row>
    <row r="78" customFormat="false" ht="15" hidden="false" customHeight="false" outlineLevel="0" collapsed="false">
      <c r="A78" s="4" t="str">
        <f aca="false">IF($B78="","",ROW()-7)</f>
        <v/>
      </c>
      <c r="J78" s="9" t="str">
        <f aca="false">IF($H78="","",$H78*$I78)</f>
        <v/>
      </c>
    </row>
    <row r="79" customFormat="false" ht="15" hidden="false" customHeight="false" outlineLevel="0" collapsed="false">
      <c r="A79" s="4" t="str">
        <f aca="false">IF($B79="","",ROW()-7)</f>
        <v/>
      </c>
      <c r="J79" s="9" t="str">
        <f aca="false">IF($H79="","",$H79*$I79)</f>
        <v/>
      </c>
    </row>
    <row r="80" customFormat="false" ht="15" hidden="false" customHeight="false" outlineLevel="0" collapsed="false">
      <c r="A80" s="4" t="str">
        <f aca="false">IF($B80="","",ROW()-7)</f>
        <v/>
      </c>
      <c r="J80" s="9" t="str">
        <f aca="false">IF($H80="","",$H80*$I80)</f>
        <v/>
      </c>
    </row>
    <row r="81" customFormat="false" ht="15" hidden="false" customHeight="false" outlineLevel="0" collapsed="false">
      <c r="A81" s="4" t="str">
        <f aca="false">IF($B81="","",ROW()-7)</f>
        <v/>
      </c>
      <c r="J81" s="9" t="str">
        <f aca="false">IF($H81="","",$H81*$I81)</f>
        <v/>
      </c>
    </row>
    <row r="82" customFormat="false" ht="15" hidden="false" customHeight="false" outlineLevel="0" collapsed="false">
      <c r="A82" s="4" t="str">
        <f aca="false">IF($B82="","",ROW()-7)</f>
        <v/>
      </c>
      <c r="J82" s="9" t="str">
        <f aca="false">IF($H82="","",$H82*$I82)</f>
        <v/>
      </c>
    </row>
    <row r="83" customFormat="false" ht="15" hidden="false" customHeight="false" outlineLevel="0" collapsed="false">
      <c r="A83" s="4" t="str">
        <f aca="false">IF($B83="","",ROW()-7)</f>
        <v/>
      </c>
      <c r="J83" s="9" t="str">
        <f aca="false">IF($H83="","",$H83*$I83)</f>
        <v/>
      </c>
    </row>
    <row r="84" customFormat="false" ht="15" hidden="false" customHeight="false" outlineLevel="0" collapsed="false">
      <c r="A84" s="4" t="str">
        <f aca="false">IF($B84="","",ROW()-7)</f>
        <v/>
      </c>
      <c r="J84" s="9" t="str">
        <f aca="false">IF($H84="","",$H84*$I84)</f>
        <v/>
      </c>
    </row>
    <row r="85" customFormat="false" ht="15" hidden="false" customHeight="false" outlineLevel="0" collapsed="false">
      <c r="A85" s="4" t="str">
        <f aca="false">IF($B85="","",ROW()-7)</f>
        <v/>
      </c>
      <c r="J85" s="9" t="str">
        <f aca="false">IF($H85="","",$H85*$I85)</f>
        <v/>
      </c>
    </row>
    <row r="86" customFormat="false" ht="15" hidden="false" customHeight="false" outlineLevel="0" collapsed="false">
      <c r="A86" s="4" t="str">
        <f aca="false">IF($B86="","",ROW()-7)</f>
        <v/>
      </c>
      <c r="J86" s="9" t="str">
        <f aca="false">IF($H86="","",$H86*$I86)</f>
        <v/>
      </c>
    </row>
    <row r="87" customFormat="false" ht="15" hidden="false" customHeight="false" outlineLevel="0" collapsed="false">
      <c r="A87" s="4" t="str">
        <f aca="false">IF($B87="","",ROW()-7)</f>
        <v/>
      </c>
      <c r="J87" s="9" t="str">
        <f aca="false">IF($H87="","",$H87*$I87)</f>
        <v/>
      </c>
    </row>
    <row r="88" customFormat="false" ht="15" hidden="false" customHeight="false" outlineLevel="0" collapsed="false">
      <c r="A88" s="4" t="str">
        <f aca="false">IF($B88="","",ROW()-7)</f>
        <v/>
      </c>
      <c r="J88" s="9" t="str">
        <f aca="false">IF($H88="","",$H88*$I88)</f>
        <v/>
      </c>
    </row>
    <row r="89" customFormat="false" ht="15" hidden="false" customHeight="false" outlineLevel="0" collapsed="false">
      <c r="A89" s="4" t="str">
        <f aca="false">IF($B89="","",ROW()-7)</f>
        <v/>
      </c>
      <c r="J89" s="9" t="str">
        <f aca="false">IF($H89="","",$H89*$I89)</f>
        <v/>
      </c>
    </row>
    <row r="90" customFormat="false" ht="15" hidden="false" customHeight="false" outlineLevel="0" collapsed="false">
      <c r="A90" s="4" t="str">
        <f aca="false">IF($B90="","",ROW()-7)</f>
        <v/>
      </c>
      <c r="J90" s="9" t="str">
        <f aca="false">IF($H90="","",$H90*$I90)</f>
        <v/>
      </c>
    </row>
    <row r="91" customFormat="false" ht="15" hidden="false" customHeight="false" outlineLevel="0" collapsed="false">
      <c r="A91" s="4" t="str">
        <f aca="false">IF($B91="","",ROW()-7)</f>
        <v/>
      </c>
      <c r="J91" s="9" t="str">
        <f aca="false">IF($H91="","",$H91*$I91)</f>
        <v/>
      </c>
    </row>
    <row r="92" customFormat="false" ht="15" hidden="false" customHeight="false" outlineLevel="0" collapsed="false">
      <c r="A92" s="4" t="str">
        <f aca="false">IF($B92="","",ROW()-7)</f>
        <v/>
      </c>
      <c r="J92" s="9" t="str">
        <f aca="false">IF($H92="","",$H92*$I92)</f>
        <v/>
      </c>
    </row>
    <row r="93" customFormat="false" ht="15" hidden="false" customHeight="false" outlineLevel="0" collapsed="false">
      <c r="A93" s="4" t="str">
        <f aca="false">IF($B93="","",ROW()-7)</f>
        <v/>
      </c>
      <c r="J93" s="9" t="str">
        <f aca="false">IF($H93="","",$H93*$I93)</f>
        <v/>
      </c>
    </row>
    <row r="94" customFormat="false" ht="15" hidden="false" customHeight="false" outlineLevel="0" collapsed="false">
      <c r="A94" s="4" t="str">
        <f aca="false">IF($B94="","",ROW()-7)</f>
        <v/>
      </c>
      <c r="J94" s="9" t="str">
        <f aca="false">IF($H94="","",$H94*$I94)</f>
        <v/>
      </c>
    </row>
    <row r="95" customFormat="false" ht="15" hidden="false" customHeight="false" outlineLevel="0" collapsed="false">
      <c r="A95" s="4" t="str">
        <f aca="false">IF($B95="","",ROW()-7)</f>
        <v/>
      </c>
      <c r="J95" s="9" t="str">
        <f aca="false">IF($H95="","",$H95*$I95)</f>
        <v/>
      </c>
    </row>
    <row r="96" customFormat="false" ht="15" hidden="false" customHeight="false" outlineLevel="0" collapsed="false">
      <c r="A96" s="4" t="str">
        <f aca="false">IF($B96="","",ROW()-7)</f>
        <v/>
      </c>
      <c r="J96" s="9" t="str">
        <f aca="false">IF($H96="","",$H96*$I96)</f>
        <v/>
      </c>
    </row>
    <row r="97" customFormat="false" ht="15" hidden="false" customHeight="false" outlineLevel="0" collapsed="false">
      <c r="A97" s="4" t="str">
        <f aca="false">IF($B97="","",ROW()-7)</f>
        <v/>
      </c>
      <c r="J97" s="9" t="str">
        <f aca="false">IF($H97="","",$H97*$I97)</f>
        <v/>
      </c>
    </row>
    <row r="98" customFormat="false" ht="15" hidden="false" customHeight="false" outlineLevel="0" collapsed="false">
      <c r="A98" s="4" t="str">
        <f aca="false">IF($B98="","",ROW()-7)</f>
        <v/>
      </c>
      <c r="J98" s="9" t="str">
        <f aca="false">IF($H98="","",$H98*$I98)</f>
        <v/>
      </c>
    </row>
    <row r="99" customFormat="false" ht="15" hidden="false" customHeight="false" outlineLevel="0" collapsed="false">
      <c r="A99" s="4" t="str">
        <f aca="false">IF($B99="","",ROW()-7)</f>
        <v/>
      </c>
      <c r="J99" s="9" t="str">
        <f aca="false">IF($H99="","",$H99*$I99)</f>
        <v/>
      </c>
    </row>
    <row r="100" customFormat="false" ht="15" hidden="false" customHeight="false" outlineLevel="0" collapsed="false">
      <c r="A100" s="4" t="str">
        <f aca="false">IF($B100="","",ROW()-7)</f>
        <v/>
      </c>
      <c r="J100" s="9" t="str">
        <f aca="false">IF($H100="","",$H100*$I100)</f>
        <v/>
      </c>
    </row>
    <row r="101" customFormat="false" ht="15" hidden="false" customHeight="false" outlineLevel="0" collapsed="false">
      <c r="A101" s="4" t="str">
        <f aca="false">IF($B101="","",ROW()-7)</f>
        <v/>
      </c>
      <c r="J101" s="9" t="str">
        <f aca="false">IF($H101="","",$H101*$I101)</f>
        <v/>
      </c>
    </row>
    <row r="102" customFormat="false" ht="15" hidden="false" customHeight="false" outlineLevel="0" collapsed="false">
      <c r="A102" s="4" t="str">
        <f aca="false">IF($B102="","",ROW()-7)</f>
        <v/>
      </c>
      <c r="J102" s="9" t="str">
        <f aca="false">IF($H102="","",$H102*$I102)</f>
        <v/>
      </c>
    </row>
    <row r="103" customFormat="false" ht="15" hidden="false" customHeight="false" outlineLevel="0" collapsed="false">
      <c r="A103" s="4" t="str">
        <f aca="false">IF($B103="","",ROW()-7)</f>
        <v/>
      </c>
      <c r="J103" s="9" t="str">
        <f aca="false">IF($H103="","",$H103*$I103)</f>
        <v/>
      </c>
    </row>
    <row r="104" customFormat="false" ht="15" hidden="false" customHeight="false" outlineLevel="0" collapsed="false">
      <c r="A104" s="4" t="str">
        <f aca="false">IF($B104="","",ROW()-7)</f>
        <v/>
      </c>
      <c r="J104" s="9" t="str">
        <f aca="false">IF($H104="","",$H104*$I104)</f>
        <v/>
      </c>
    </row>
    <row r="105" customFormat="false" ht="15" hidden="false" customHeight="false" outlineLevel="0" collapsed="false">
      <c r="A105" s="4" t="str">
        <f aca="false">IF($B105="","",ROW()-7)</f>
        <v/>
      </c>
      <c r="J105" s="9" t="str">
        <f aca="false">IF($H105="","",$H105*$I105)</f>
        <v/>
      </c>
    </row>
    <row r="106" customFormat="false" ht="15" hidden="false" customHeight="false" outlineLevel="0" collapsed="false">
      <c r="A106" s="4" t="str">
        <f aca="false">IF($B106="","",ROW()-7)</f>
        <v/>
      </c>
      <c r="J106" s="9" t="str">
        <f aca="false">IF($H106="","",$H106*$I106)</f>
        <v/>
      </c>
    </row>
    <row r="107" customFormat="false" ht="15" hidden="false" customHeight="false" outlineLevel="0" collapsed="false">
      <c r="A107" s="4" t="str">
        <f aca="false">IF($B107="","",ROW()-7)</f>
        <v/>
      </c>
      <c r="J107" s="9" t="str">
        <f aca="false">IF($H107="","",$H107*$I107)</f>
        <v/>
      </c>
    </row>
  </sheetData>
  <mergeCells count="5">
    <mergeCell ref="A1:M1"/>
    <mergeCell ref="B3:C3"/>
    <mergeCell ref="B4:C4"/>
    <mergeCell ref="B5:C5"/>
    <mergeCell ref="O6:P6"/>
  </mergeCells>
  <conditionalFormatting sqref="L8:L107">
    <cfRule type="cellIs" priority="2" operator="equal" aboveAverage="0" equalAverage="0" bottom="0" percent="0" rank="0" text="" dxfId="0">
      <formula>"Đã chuyển khoản"</formula>
    </cfRule>
    <cfRule type="cellIs" priority="3" operator="equal" aboveAverage="0" equalAverage="0" bottom="0" percent="0" rank="0" text="" dxfId="1">
      <formula>"Chưa chuyển khoản"</formula>
    </cfRule>
  </conditionalFormatting>
  <dataValidations count="1">
    <dataValidation allowBlank="true" error="Chọn: Đã chuyển khoản hoặc Chưa chuyển khoản" errorStyle="stop" operator="between" showDropDown="false" showErrorMessage="false" showInputMessage="false" sqref="L8:L107" type="list">
      <formula1>"Đã chuyển khoản,Chưa chuyển khoản"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3"/>
    <col collapsed="false" customWidth="true" hidden="false" outlineLevel="0" max="4" min="4" style="0" width="17"/>
    <col collapsed="false" customWidth="true" hidden="false" outlineLevel="0" max="5" min="5" style="0" width="3"/>
    <col collapsed="false" customWidth="true" hidden="false" outlineLevel="0" max="6" min="6" style="0" width="22"/>
    <col collapsed="false" customWidth="true" hidden="false" outlineLevel="0" max="9" min="7" style="0" width="17"/>
  </cols>
  <sheetData>
    <row r="1" customFormat="false" ht="25.5" hidden="false" customHeight="true" outlineLevel="0" collapsed="false">
      <c r="A1" s="10" t="s">
        <v>73</v>
      </c>
      <c r="B1" s="10"/>
      <c r="C1" s="10"/>
      <c r="D1" s="10"/>
      <c r="E1" s="10"/>
      <c r="F1" s="10"/>
      <c r="G1" s="10"/>
      <c r="H1" s="10"/>
      <c r="I1" s="10"/>
    </row>
    <row r="3" customFormat="false" ht="15" hidden="false" customHeight="true" outlineLevel="0" collapsed="false">
      <c r="A3" s="22" t="s">
        <v>74</v>
      </c>
      <c r="B3" s="22"/>
      <c r="C3" s="22"/>
      <c r="D3" s="22"/>
    </row>
    <row r="4" customFormat="false" ht="15" hidden="false" customHeight="true" outlineLevel="0" collapsed="false">
      <c r="A4" s="23" t="s">
        <v>75</v>
      </c>
      <c r="B4" s="23"/>
      <c r="C4" s="24" t="n">
        <v>46218</v>
      </c>
      <c r="D4" s="21" t="n">
        <f aca="false">SUMIF('Tháng 7'!$B$8:$B$107,$C$4,'Tháng 7'!$J$8:$J$107)+SUMIF('Tháng 8'!$B$8:$B$107,$C$4,'Tháng 8'!$J$8:$J$107)+SUMIF('Tháng 9'!$B$8:$B$107,$C$4,'Tháng 9'!$J$8:$J$107)+SUMIF('Tháng 10'!$B$8:$B$107,$C$4,'Tháng 10'!$J$8:$J$107)+SUMIF('Tháng 11'!$B$8:$B$107,$C$4,'Tháng 11'!$J$8:$J$107)+SUMIF('Tháng 12'!$B$8:$B$107,$C$4,'Tháng 12'!$J$8:$J$107)</f>
        <v>7000000</v>
      </c>
    </row>
    <row r="5" customFormat="false" ht="15" hidden="false" customHeight="false" outlineLevel="0" collapsed="false">
      <c r="A5" s="25" t="s">
        <v>76</v>
      </c>
      <c r="B5" s="25"/>
    </row>
    <row r="7" customFormat="false" ht="15" hidden="false" customHeight="true" outlineLevel="0" collapsed="false">
      <c r="A7" s="22" t="s">
        <v>77</v>
      </c>
      <c r="B7" s="22"/>
      <c r="C7" s="22"/>
      <c r="D7" s="22"/>
      <c r="F7" s="22" t="s">
        <v>78</v>
      </c>
      <c r="G7" s="22"/>
      <c r="H7" s="22"/>
      <c r="I7" s="22"/>
    </row>
    <row r="8" customFormat="false" ht="15" hidden="false" customHeight="false" outlineLevel="0" collapsed="false">
      <c r="A8" s="14" t="s">
        <v>79</v>
      </c>
      <c r="B8" s="14" t="s">
        <v>80</v>
      </c>
      <c r="C8" s="14" t="s">
        <v>81</v>
      </c>
      <c r="D8" s="14" t="s">
        <v>45</v>
      </c>
      <c r="F8" s="14" t="s">
        <v>82</v>
      </c>
      <c r="G8" s="14" t="s">
        <v>45</v>
      </c>
      <c r="H8" s="14" t="s">
        <v>83</v>
      </c>
      <c r="I8" s="14" t="s">
        <v>84</v>
      </c>
    </row>
    <row r="9" customFormat="false" ht="15" hidden="false" customHeight="false" outlineLevel="0" collapsed="false">
      <c r="A9" s="26" t="s">
        <v>85</v>
      </c>
      <c r="B9" s="18" t="n">
        <v>46202</v>
      </c>
      <c r="C9" s="18" t="n">
        <v>46208</v>
      </c>
      <c r="D9" s="19" t="n">
        <f aca="false">SUMIFS('Tháng 7'!$J$8:$J$107,'Tháng 7'!$B$8:$B$107,"&gt;="&amp;$B9,'Tháng 7'!$B$8:$B$107,"&lt;="&amp;$C9)+SUMIFS('Tháng 8'!$J$8:$J$107,'Tháng 8'!$B$8:$B$107,"&gt;="&amp;$B9,'Tháng 8'!$B$8:$B$107,"&lt;="&amp;$C9)+SUMIFS('Tháng 9'!$J$8:$J$107,'Tháng 9'!$B$8:$B$107,"&gt;="&amp;$B9,'Tháng 9'!$B$8:$B$107,"&lt;="&amp;$C9)+SUMIFS('Tháng 10'!$J$8:$J$107,'Tháng 10'!$B$8:$B$107,"&gt;="&amp;$B9,'Tháng 10'!$B$8:$B$107,"&lt;="&amp;$C9)+SUMIFS('Tháng 11'!$J$8:$J$107,'Tháng 11'!$B$8:$B$107,"&gt;="&amp;$B9,'Tháng 11'!$B$8:$B$107,"&lt;="&amp;$C9)+SUMIFS('Tháng 12'!$J$8:$J$107,'Tháng 12'!$B$8:$B$107,"&gt;="&amp;$B9,'Tháng 12'!$B$8:$B$107,"&lt;="&amp;$C9)</f>
        <v>8500000</v>
      </c>
      <c r="F9" s="26" t="s">
        <v>86</v>
      </c>
      <c r="G9" s="27" t="n">
        <f aca="false">'Tháng 7'!$D$3</f>
        <v>21500000</v>
      </c>
      <c r="H9" s="27" t="n">
        <f aca="false">'Tháng 7'!$D$4</f>
        <v>15500000</v>
      </c>
      <c r="I9" s="27" t="n">
        <f aca="false">'Tháng 7'!$D$5</f>
        <v>6000000</v>
      </c>
    </row>
    <row r="10" customFormat="false" ht="15" hidden="false" customHeight="false" outlineLevel="0" collapsed="false">
      <c r="A10" s="26" t="s">
        <v>87</v>
      </c>
      <c r="B10" s="18" t="n">
        <v>46209</v>
      </c>
      <c r="C10" s="18" t="n">
        <v>46215</v>
      </c>
      <c r="D10" s="19" t="n">
        <f aca="false">SUMIFS('Tháng 7'!$J$8:$J$107,'Tháng 7'!$B$8:$B$107,"&gt;="&amp;$B10,'Tháng 7'!$B$8:$B$107,"&lt;="&amp;$C10)+SUMIFS('Tháng 8'!$J$8:$J$107,'Tháng 8'!$B$8:$B$107,"&gt;="&amp;$B10,'Tháng 8'!$B$8:$B$107,"&lt;="&amp;$C10)+SUMIFS('Tháng 9'!$J$8:$J$107,'Tháng 9'!$B$8:$B$107,"&gt;="&amp;$B10,'Tháng 9'!$B$8:$B$107,"&lt;="&amp;$C10)+SUMIFS('Tháng 10'!$J$8:$J$107,'Tháng 10'!$B$8:$B$107,"&gt;="&amp;$B10,'Tháng 10'!$B$8:$B$107,"&lt;="&amp;$C10)+SUMIFS('Tháng 11'!$J$8:$J$107,'Tháng 11'!$B$8:$B$107,"&gt;="&amp;$B10,'Tháng 11'!$B$8:$B$107,"&lt;="&amp;$C10)+SUMIFS('Tháng 12'!$J$8:$J$107,'Tháng 12'!$B$8:$B$107,"&gt;="&amp;$B10,'Tháng 12'!$B$8:$B$107,"&lt;="&amp;$C10)</f>
        <v>6000000</v>
      </c>
      <c r="F10" s="26" t="s">
        <v>88</v>
      </c>
      <c r="G10" s="27" t="n">
        <f aca="false">'Tháng 8'!$D$3</f>
        <v>0</v>
      </c>
      <c r="H10" s="27" t="n">
        <f aca="false">'Tháng 8'!$D$4</f>
        <v>0</v>
      </c>
      <c r="I10" s="27" t="n">
        <f aca="false">'Tháng 8'!$D$5</f>
        <v>0</v>
      </c>
    </row>
    <row r="11" customFormat="false" ht="15" hidden="false" customHeight="false" outlineLevel="0" collapsed="false">
      <c r="A11" s="26" t="s">
        <v>89</v>
      </c>
      <c r="B11" s="18" t="n">
        <v>46216</v>
      </c>
      <c r="C11" s="18" t="n">
        <v>46222</v>
      </c>
      <c r="D11" s="19" t="n">
        <f aca="false">SUMIFS('Tháng 7'!$J$8:$J$107,'Tháng 7'!$B$8:$B$107,"&gt;="&amp;$B11,'Tháng 7'!$B$8:$B$107,"&lt;="&amp;$C11)+SUMIFS('Tháng 8'!$J$8:$J$107,'Tháng 8'!$B$8:$B$107,"&gt;="&amp;$B11,'Tháng 8'!$B$8:$B$107,"&lt;="&amp;$C11)+SUMIFS('Tháng 9'!$J$8:$J$107,'Tháng 9'!$B$8:$B$107,"&gt;="&amp;$B11,'Tháng 9'!$B$8:$B$107,"&lt;="&amp;$C11)+SUMIFS('Tháng 10'!$J$8:$J$107,'Tháng 10'!$B$8:$B$107,"&gt;="&amp;$B11,'Tháng 10'!$B$8:$B$107,"&lt;="&amp;$C11)+SUMIFS('Tháng 11'!$J$8:$J$107,'Tháng 11'!$B$8:$B$107,"&gt;="&amp;$B11,'Tháng 11'!$B$8:$B$107,"&lt;="&amp;$C11)+SUMIFS('Tháng 12'!$J$8:$J$107,'Tháng 12'!$B$8:$B$107,"&gt;="&amp;$B11,'Tháng 12'!$B$8:$B$107,"&lt;="&amp;$C11)</f>
        <v>7000000</v>
      </c>
      <c r="F11" s="26" t="s">
        <v>90</v>
      </c>
      <c r="G11" s="27" t="n">
        <f aca="false">'Tháng 9'!$D$3</f>
        <v>0</v>
      </c>
      <c r="H11" s="27" t="n">
        <f aca="false">'Tháng 9'!$D$4</f>
        <v>0</v>
      </c>
      <c r="I11" s="27" t="n">
        <f aca="false">'Tháng 9'!$D$5</f>
        <v>0</v>
      </c>
    </row>
    <row r="12" customFormat="false" ht="15" hidden="false" customHeight="false" outlineLevel="0" collapsed="false">
      <c r="A12" s="26" t="s">
        <v>91</v>
      </c>
      <c r="B12" s="18" t="n">
        <v>46223</v>
      </c>
      <c r="C12" s="18" t="n">
        <v>46229</v>
      </c>
      <c r="D12" s="19" t="n">
        <f aca="false">SUMIFS('Tháng 7'!$J$8:$J$107,'Tháng 7'!$B$8:$B$107,"&gt;="&amp;$B12,'Tháng 7'!$B$8:$B$107,"&lt;="&amp;$C12)+SUMIFS('Tháng 8'!$J$8:$J$107,'Tháng 8'!$B$8:$B$107,"&gt;="&amp;$B12,'Tháng 8'!$B$8:$B$107,"&lt;="&amp;$C12)+SUMIFS('Tháng 9'!$J$8:$J$107,'Tháng 9'!$B$8:$B$107,"&gt;="&amp;$B12,'Tháng 9'!$B$8:$B$107,"&lt;="&amp;$C12)+SUMIFS('Tháng 10'!$J$8:$J$107,'Tháng 10'!$B$8:$B$107,"&gt;="&amp;$B12,'Tháng 10'!$B$8:$B$107,"&lt;="&amp;$C12)+SUMIFS('Tháng 11'!$J$8:$J$107,'Tháng 11'!$B$8:$B$107,"&gt;="&amp;$B12,'Tháng 11'!$B$8:$B$107,"&lt;="&amp;$C12)+SUMIFS('Tháng 12'!$J$8:$J$107,'Tháng 12'!$B$8:$B$107,"&gt;="&amp;$B12,'Tháng 12'!$B$8:$B$107,"&lt;="&amp;$C12)</f>
        <v>0</v>
      </c>
      <c r="F12" s="26" t="s">
        <v>92</v>
      </c>
      <c r="G12" s="27" t="n">
        <f aca="false">'Tháng 10'!$D$3</f>
        <v>0</v>
      </c>
      <c r="H12" s="27" t="n">
        <f aca="false">'Tháng 10'!$D$4</f>
        <v>0</v>
      </c>
      <c r="I12" s="27" t="n">
        <f aca="false">'Tháng 10'!$D$5</f>
        <v>0</v>
      </c>
    </row>
    <row r="13" customFormat="false" ht="15" hidden="false" customHeight="false" outlineLevel="0" collapsed="false">
      <c r="A13" s="26" t="s">
        <v>93</v>
      </c>
      <c r="B13" s="18" t="n">
        <v>46230</v>
      </c>
      <c r="C13" s="18" t="n">
        <v>46236</v>
      </c>
      <c r="D13" s="19" t="n">
        <f aca="false">SUMIFS('Tháng 7'!$J$8:$J$107,'Tháng 7'!$B$8:$B$107,"&gt;="&amp;$B13,'Tháng 7'!$B$8:$B$107,"&lt;="&amp;$C13)+SUMIFS('Tháng 8'!$J$8:$J$107,'Tháng 8'!$B$8:$B$107,"&gt;="&amp;$B13,'Tháng 8'!$B$8:$B$107,"&lt;="&amp;$C13)+SUMIFS('Tháng 9'!$J$8:$J$107,'Tháng 9'!$B$8:$B$107,"&gt;="&amp;$B13,'Tháng 9'!$B$8:$B$107,"&lt;="&amp;$C13)+SUMIFS('Tháng 10'!$J$8:$J$107,'Tháng 10'!$B$8:$B$107,"&gt;="&amp;$B13,'Tháng 10'!$B$8:$B$107,"&lt;="&amp;$C13)+SUMIFS('Tháng 11'!$J$8:$J$107,'Tháng 11'!$B$8:$B$107,"&gt;="&amp;$B13,'Tháng 11'!$B$8:$B$107,"&lt;="&amp;$C13)+SUMIFS('Tháng 12'!$J$8:$J$107,'Tháng 12'!$B$8:$B$107,"&gt;="&amp;$B13,'Tháng 12'!$B$8:$B$107,"&lt;="&amp;$C13)</f>
        <v>0</v>
      </c>
      <c r="F13" s="26" t="s">
        <v>94</v>
      </c>
      <c r="G13" s="27" t="n">
        <f aca="false">'Tháng 11'!$D$3</f>
        <v>0</v>
      </c>
      <c r="H13" s="27" t="n">
        <f aca="false">'Tháng 11'!$D$4</f>
        <v>0</v>
      </c>
      <c r="I13" s="27" t="n">
        <f aca="false">'Tháng 11'!$D$5</f>
        <v>0</v>
      </c>
    </row>
    <row r="14" customFormat="false" ht="15" hidden="false" customHeight="false" outlineLevel="0" collapsed="false">
      <c r="A14" s="26" t="s">
        <v>95</v>
      </c>
      <c r="B14" s="18" t="n">
        <v>46237</v>
      </c>
      <c r="C14" s="18" t="n">
        <v>46243</v>
      </c>
      <c r="D14" s="19" t="n">
        <f aca="false">SUMIFS('Tháng 7'!$J$8:$J$107,'Tháng 7'!$B$8:$B$107,"&gt;="&amp;$B14,'Tháng 7'!$B$8:$B$107,"&lt;="&amp;$C14)+SUMIFS('Tháng 8'!$J$8:$J$107,'Tháng 8'!$B$8:$B$107,"&gt;="&amp;$B14,'Tháng 8'!$B$8:$B$107,"&lt;="&amp;$C14)+SUMIFS('Tháng 9'!$J$8:$J$107,'Tháng 9'!$B$8:$B$107,"&gt;="&amp;$B14,'Tháng 9'!$B$8:$B$107,"&lt;="&amp;$C14)+SUMIFS('Tháng 10'!$J$8:$J$107,'Tháng 10'!$B$8:$B$107,"&gt;="&amp;$B14,'Tháng 10'!$B$8:$B$107,"&lt;="&amp;$C14)+SUMIFS('Tháng 11'!$J$8:$J$107,'Tháng 11'!$B$8:$B$107,"&gt;="&amp;$B14,'Tháng 11'!$B$8:$B$107,"&lt;="&amp;$C14)+SUMIFS('Tháng 12'!$J$8:$J$107,'Tháng 12'!$B$8:$B$107,"&gt;="&amp;$B14,'Tháng 12'!$B$8:$B$107,"&lt;="&amp;$C14)</f>
        <v>0</v>
      </c>
      <c r="F14" s="26" t="s">
        <v>96</v>
      </c>
      <c r="G14" s="27" t="n">
        <f aca="false">'Tháng 12'!$D$3</f>
        <v>0</v>
      </c>
      <c r="H14" s="27" t="n">
        <f aca="false">'Tháng 12'!$D$4</f>
        <v>0</v>
      </c>
      <c r="I14" s="27" t="n">
        <f aca="false">'Tháng 12'!$D$5</f>
        <v>0</v>
      </c>
    </row>
    <row r="15" customFormat="false" ht="15" hidden="false" customHeight="false" outlineLevel="0" collapsed="false">
      <c r="A15" s="26" t="s">
        <v>97</v>
      </c>
      <c r="B15" s="18" t="n">
        <v>46244</v>
      </c>
      <c r="C15" s="18" t="n">
        <v>46250</v>
      </c>
      <c r="D15" s="19" t="n">
        <f aca="false">SUMIFS('Tháng 7'!$J$8:$J$107,'Tháng 7'!$B$8:$B$107,"&gt;="&amp;$B15,'Tháng 7'!$B$8:$B$107,"&lt;="&amp;$C15)+SUMIFS('Tháng 8'!$J$8:$J$107,'Tháng 8'!$B$8:$B$107,"&gt;="&amp;$B15,'Tháng 8'!$B$8:$B$107,"&lt;="&amp;$C15)+SUMIFS('Tháng 9'!$J$8:$J$107,'Tháng 9'!$B$8:$B$107,"&gt;="&amp;$B15,'Tháng 9'!$B$8:$B$107,"&lt;="&amp;$C15)+SUMIFS('Tháng 10'!$J$8:$J$107,'Tháng 10'!$B$8:$B$107,"&gt;="&amp;$B15,'Tháng 10'!$B$8:$B$107,"&lt;="&amp;$C15)+SUMIFS('Tháng 11'!$J$8:$J$107,'Tháng 11'!$B$8:$B$107,"&gt;="&amp;$B15,'Tháng 11'!$B$8:$B$107,"&lt;="&amp;$C15)+SUMIFS('Tháng 12'!$J$8:$J$107,'Tháng 12'!$B$8:$B$107,"&gt;="&amp;$B15,'Tháng 12'!$B$8:$B$107,"&lt;="&amp;$C15)</f>
        <v>0</v>
      </c>
    </row>
    <row r="16" customFormat="false" ht="15" hidden="false" customHeight="true" outlineLevel="0" collapsed="false">
      <c r="A16" s="26" t="s">
        <v>98</v>
      </c>
      <c r="B16" s="18" t="n">
        <v>46251</v>
      </c>
      <c r="C16" s="18" t="n">
        <v>46257</v>
      </c>
      <c r="D16" s="19" t="n">
        <f aca="false">SUMIFS('Tháng 7'!$J$8:$J$107,'Tháng 7'!$B$8:$B$107,"&gt;="&amp;$B16,'Tháng 7'!$B$8:$B$107,"&lt;="&amp;$C16)+SUMIFS('Tháng 8'!$J$8:$J$107,'Tháng 8'!$B$8:$B$107,"&gt;="&amp;$B16,'Tháng 8'!$B$8:$B$107,"&lt;="&amp;$C16)+SUMIFS('Tháng 9'!$J$8:$J$107,'Tháng 9'!$B$8:$B$107,"&gt;="&amp;$B16,'Tháng 9'!$B$8:$B$107,"&lt;="&amp;$C16)+SUMIFS('Tháng 10'!$J$8:$J$107,'Tháng 10'!$B$8:$B$107,"&gt;="&amp;$B16,'Tháng 10'!$B$8:$B$107,"&lt;="&amp;$C16)+SUMIFS('Tháng 11'!$J$8:$J$107,'Tháng 11'!$B$8:$B$107,"&gt;="&amp;$B16,'Tháng 11'!$B$8:$B$107,"&lt;="&amp;$C16)+SUMIFS('Tháng 12'!$J$8:$J$107,'Tháng 12'!$B$8:$B$107,"&gt;="&amp;$B16,'Tháng 12'!$B$8:$B$107,"&lt;="&amp;$C16)</f>
        <v>0</v>
      </c>
      <c r="F16" s="22" t="s">
        <v>99</v>
      </c>
      <c r="G16" s="22"/>
      <c r="H16" s="22"/>
      <c r="I16" s="22"/>
    </row>
    <row r="17" customFormat="false" ht="15" hidden="false" customHeight="false" outlineLevel="0" collapsed="false">
      <c r="A17" s="26" t="s">
        <v>100</v>
      </c>
      <c r="B17" s="18" t="n">
        <v>46258</v>
      </c>
      <c r="C17" s="18" t="n">
        <v>46264</v>
      </c>
      <c r="D17" s="19" t="n">
        <f aca="false">SUMIFS('Tháng 7'!$J$8:$J$107,'Tháng 7'!$B$8:$B$107,"&gt;="&amp;$B17,'Tháng 7'!$B$8:$B$107,"&lt;="&amp;$C17)+SUMIFS('Tháng 8'!$J$8:$J$107,'Tháng 8'!$B$8:$B$107,"&gt;="&amp;$B17,'Tháng 8'!$B$8:$B$107,"&lt;="&amp;$C17)+SUMIFS('Tháng 9'!$J$8:$J$107,'Tháng 9'!$B$8:$B$107,"&gt;="&amp;$B17,'Tháng 9'!$B$8:$B$107,"&lt;="&amp;$C17)+SUMIFS('Tháng 10'!$J$8:$J$107,'Tháng 10'!$B$8:$B$107,"&gt;="&amp;$B17,'Tháng 10'!$B$8:$B$107,"&lt;="&amp;$C17)+SUMIFS('Tháng 11'!$J$8:$J$107,'Tháng 11'!$B$8:$B$107,"&gt;="&amp;$B17,'Tháng 11'!$B$8:$B$107,"&lt;="&amp;$C17)+SUMIFS('Tháng 12'!$J$8:$J$107,'Tháng 12'!$B$8:$B$107,"&gt;="&amp;$B17,'Tháng 12'!$B$8:$B$107,"&lt;="&amp;$C17)</f>
        <v>0</v>
      </c>
      <c r="F17" s="20" t="s">
        <v>101</v>
      </c>
      <c r="G17" s="21" t="n">
        <f aca="false">SUM($G$9:$G$11)</f>
        <v>21500000</v>
      </c>
      <c r="H17" s="21" t="n">
        <f aca="false">SUM($H$9:$H$11)</f>
        <v>15500000</v>
      </c>
      <c r="I17" s="21" t="n">
        <f aca="false">SUM($I$9:$I$11)</f>
        <v>6000000</v>
      </c>
    </row>
    <row r="18" customFormat="false" ht="15" hidden="false" customHeight="false" outlineLevel="0" collapsed="false">
      <c r="A18" s="26" t="s">
        <v>102</v>
      </c>
      <c r="B18" s="18" t="n">
        <v>46265</v>
      </c>
      <c r="C18" s="18" t="n">
        <v>46271</v>
      </c>
      <c r="D18" s="19" t="n">
        <f aca="false">SUMIFS('Tháng 7'!$J$8:$J$107,'Tháng 7'!$B$8:$B$107,"&gt;="&amp;$B18,'Tháng 7'!$B$8:$B$107,"&lt;="&amp;$C18)+SUMIFS('Tháng 8'!$J$8:$J$107,'Tháng 8'!$B$8:$B$107,"&gt;="&amp;$B18,'Tháng 8'!$B$8:$B$107,"&lt;="&amp;$C18)+SUMIFS('Tháng 9'!$J$8:$J$107,'Tháng 9'!$B$8:$B$107,"&gt;="&amp;$B18,'Tháng 9'!$B$8:$B$107,"&lt;="&amp;$C18)+SUMIFS('Tháng 10'!$J$8:$J$107,'Tháng 10'!$B$8:$B$107,"&gt;="&amp;$B18,'Tháng 10'!$B$8:$B$107,"&lt;="&amp;$C18)+SUMIFS('Tháng 11'!$J$8:$J$107,'Tháng 11'!$B$8:$B$107,"&gt;="&amp;$B18,'Tháng 11'!$B$8:$B$107,"&lt;="&amp;$C18)+SUMIFS('Tháng 12'!$J$8:$J$107,'Tháng 12'!$B$8:$B$107,"&gt;="&amp;$B18,'Tháng 12'!$B$8:$B$107,"&lt;="&amp;$C18)</f>
        <v>0</v>
      </c>
      <c r="F18" s="20" t="s">
        <v>103</v>
      </c>
      <c r="G18" s="21" t="n">
        <f aca="false">SUM($G$12:$G$14)</f>
        <v>0</v>
      </c>
      <c r="H18" s="21" t="n">
        <f aca="false">SUM($H$12:$H$14)</f>
        <v>0</v>
      </c>
      <c r="I18" s="21" t="n">
        <f aca="false">SUM($I$12:$I$14)</f>
        <v>0</v>
      </c>
    </row>
    <row r="19" customFormat="false" ht="15" hidden="false" customHeight="false" outlineLevel="0" collapsed="false">
      <c r="A19" s="26" t="s">
        <v>104</v>
      </c>
      <c r="B19" s="18" t="n">
        <v>46272</v>
      </c>
      <c r="C19" s="18" t="n">
        <v>46278</v>
      </c>
      <c r="D19" s="19" t="n">
        <f aca="false">SUMIFS('Tháng 7'!$J$8:$J$107,'Tháng 7'!$B$8:$B$107,"&gt;="&amp;$B19,'Tháng 7'!$B$8:$B$107,"&lt;="&amp;$C19)+SUMIFS('Tháng 8'!$J$8:$J$107,'Tháng 8'!$B$8:$B$107,"&gt;="&amp;$B19,'Tháng 8'!$B$8:$B$107,"&lt;="&amp;$C19)+SUMIFS('Tháng 9'!$J$8:$J$107,'Tháng 9'!$B$8:$B$107,"&gt;="&amp;$B19,'Tháng 9'!$B$8:$B$107,"&lt;="&amp;$C19)+SUMIFS('Tháng 10'!$J$8:$J$107,'Tháng 10'!$B$8:$B$107,"&gt;="&amp;$B19,'Tháng 10'!$B$8:$B$107,"&lt;="&amp;$C19)+SUMIFS('Tháng 11'!$J$8:$J$107,'Tháng 11'!$B$8:$B$107,"&gt;="&amp;$B19,'Tháng 11'!$B$8:$B$107,"&lt;="&amp;$C19)+SUMIFS('Tháng 12'!$J$8:$J$107,'Tháng 12'!$B$8:$B$107,"&gt;="&amp;$B19,'Tháng 12'!$B$8:$B$107,"&lt;="&amp;$C19)</f>
        <v>0</v>
      </c>
    </row>
    <row r="20" customFormat="false" ht="15" hidden="false" customHeight="true" outlineLevel="0" collapsed="false">
      <c r="A20" s="26" t="s">
        <v>105</v>
      </c>
      <c r="B20" s="18" t="n">
        <v>46279</v>
      </c>
      <c r="C20" s="18" t="n">
        <v>46285</v>
      </c>
      <c r="D20" s="19" t="n">
        <f aca="false">SUMIFS('Tháng 7'!$J$8:$J$107,'Tháng 7'!$B$8:$B$107,"&gt;="&amp;$B20,'Tháng 7'!$B$8:$B$107,"&lt;="&amp;$C20)+SUMIFS('Tháng 8'!$J$8:$J$107,'Tháng 8'!$B$8:$B$107,"&gt;="&amp;$B20,'Tháng 8'!$B$8:$B$107,"&lt;="&amp;$C20)+SUMIFS('Tháng 9'!$J$8:$J$107,'Tháng 9'!$B$8:$B$107,"&gt;="&amp;$B20,'Tháng 9'!$B$8:$B$107,"&lt;="&amp;$C20)+SUMIFS('Tháng 10'!$J$8:$J$107,'Tháng 10'!$B$8:$B$107,"&gt;="&amp;$B20,'Tháng 10'!$B$8:$B$107,"&lt;="&amp;$C20)+SUMIFS('Tháng 11'!$J$8:$J$107,'Tháng 11'!$B$8:$B$107,"&gt;="&amp;$B20,'Tháng 11'!$B$8:$B$107,"&lt;="&amp;$C20)+SUMIFS('Tháng 12'!$J$8:$J$107,'Tháng 12'!$B$8:$B$107,"&gt;="&amp;$B20,'Tháng 12'!$B$8:$B$107,"&lt;="&amp;$C20)</f>
        <v>0</v>
      </c>
      <c r="F20" s="22" t="s">
        <v>106</v>
      </c>
      <c r="G20" s="22"/>
      <c r="H20" s="22"/>
      <c r="I20" s="22"/>
    </row>
    <row r="21" customFormat="false" ht="15" hidden="false" customHeight="false" outlineLevel="0" collapsed="false">
      <c r="A21" s="26" t="s">
        <v>107</v>
      </c>
      <c r="B21" s="18" t="n">
        <v>46286</v>
      </c>
      <c r="C21" s="18" t="n">
        <v>46292</v>
      </c>
      <c r="D21" s="19" t="n">
        <f aca="false">SUMIFS('Tháng 7'!$J$8:$J$107,'Tháng 7'!$B$8:$B$107,"&gt;="&amp;$B21,'Tháng 7'!$B$8:$B$107,"&lt;="&amp;$C21)+SUMIFS('Tháng 8'!$J$8:$J$107,'Tháng 8'!$B$8:$B$107,"&gt;="&amp;$B21,'Tháng 8'!$B$8:$B$107,"&lt;="&amp;$C21)+SUMIFS('Tháng 9'!$J$8:$J$107,'Tháng 9'!$B$8:$B$107,"&gt;="&amp;$B21,'Tháng 9'!$B$8:$B$107,"&lt;="&amp;$C21)+SUMIFS('Tháng 10'!$J$8:$J$107,'Tháng 10'!$B$8:$B$107,"&gt;="&amp;$B21,'Tháng 10'!$B$8:$B$107,"&lt;="&amp;$C21)+SUMIFS('Tháng 11'!$J$8:$J$107,'Tháng 11'!$B$8:$B$107,"&gt;="&amp;$B21,'Tháng 11'!$B$8:$B$107,"&lt;="&amp;$C21)+SUMIFS('Tháng 12'!$J$8:$J$107,'Tháng 12'!$B$8:$B$107,"&gt;="&amp;$B21,'Tháng 12'!$B$8:$B$107,"&lt;="&amp;$C21)</f>
        <v>0</v>
      </c>
      <c r="F21" s="28" t="s">
        <v>108</v>
      </c>
      <c r="G21" s="29" t="n">
        <f aca="false">SUM($G$17:$G$18)</f>
        <v>21500000</v>
      </c>
      <c r="H21" s="29" t="n">
        <f aca="false">SUM($H$17:$H$18)</f>
        <v>15500000</v>
      </c>
      <c r="I21" s="29" t="n">
        <f aca="false">SUM($I$17:$I$18)</f>
        <v>6000000</v>
      </c>
    </row>
    <row r="22" customFormat="false" ht="15" hidden="false" customHeight="false" outlineLevel="0" collapsed="false">
      <c r="A22" s="26" t="s">
        <v>109</v>
      </c>
      <c r="B22" s="18" t="n">
        <v>46293</v>
      </c>
      <c r="C22" s="18" t="n">
        <v>46299</v>
      </c>
      <c r="D22" s="19" t="n">
        <f aca="false">SUMIFS('Tháng 7'!$J$8:$J$107,'Tháng 7'!$B$8:$B$107,"&gt;="&amp;$B22,'Tháng 7'!$B$8:$B$107,"&lt;="&amp;$C22)+SUMIFS('Tháng 8'!$J$8:$J$107,'Tháng 8'!$B$8:$B$107,"&gt;="&amp;$B22,'Tháng 8'!$B$8:$B$107,"&lt;="&amp;$C22)+SUMIFS('Tháng 9'!$J$8:$J$107,'Tháng 9'!$B$8:$B$107,"&gt;="&amp;$B22,'Tháng 9'!$B$8:$B$107,"&lt;="&amp;$C22)+SUMIFS('Tháng 10'!$J$8:$J$107,'Tháng 10'!$B$8:$B$107,"&gt;="&amp;$B22,'Tháng 10'!$B$8:$B$107,"&lt;="&amp;$C22)+SUMIFS('Tháng 11'!$J$8:$J$107,'Tháng 11'!$B$8:$B$107,"&gt;="&amp;$B22,'Tháng 11'!$B$8:$B$107,"&lt;="&amp;$C22)+SUMIFS('Tháng 12'!$J$8:$J$107,'Tháng 12'!$B$8:$B$107,"&gt;="&amp;$B22,'Tháng 12'!$B$8:$B$107,"&lt;="&amp;$C22)</f>
        <v>0</v>
      </c>
    </row>
    <row r="23" customFormat="false" ht="15" hidden="false" customHeight="false" outlineLevel="0" collapsed="false">
      <c r="A23" s="26" t="s">
        <v>110</v>
      </c>
      <c r="B23" s="18" t="n">
        <v>46300</v>
      </c>
      <c r="C23" s="18" t="n">
        <v>46306</v>
      </c>
      <c r="D23" s="19" t="n">
        <f aca="false">SUMIFS('Tháng 7'!$J$8:$J$107,'Tháng 7'!$B$8:$B$107,"&gt;="&amp;$B23,'Tháng 7'!$B$8:$B$107,"&lt;="&amp;$C23)+SUMIFS('Tháng 8'!$J$8:$J$107,'Tháng 8'!$B$8:$B$107,"&gt;="&amp;$B23,'Tháng 8'!$B$8:$B$107,"&lt;="&amp;$C23)+SUMIFS('Tháng 9'!$J$8:$J$107,'Tháng 9'!$B$8:$B$107,"&gt;="&amp;$B23,'Tháng 9'!$B$8:$B$107,"&lt;="&amp;$C23)+SUMIFS('Tháng 10'!$J$8:$J$107,'Tháng 10'!$B$8:$B$107,"&gt;="&amp;$B23,'Tháng 10'!$B$8:$B$107,"&lt;="&amp;$C23)+SUMIFS('Tháng 11'!$J$8:$J$107,'Tháng 11'!$B$8:$B$107,"&gt;="&amp;$B23,'Tháng 11'!$B$8:$B$107,"&lt;="&amp;$C23)+SUMIFS('Tháng 12'!$J$8:$J$107,'Tháng 12'!$B$8:$B$107,"&gt;="&amp;$B23,'Tháng 12'!$B$8:$B$107,"&lt;="&amp;$C23)</f>
        <v>0</v>
      </c>
      <c r="F23" s="17" t="s">
        <v>111</v>
      </c>
    </row>
    <row r="24" customFormat="false" ht="15" hidden="false" customHeight="false" outlineLevel="0" collapsed="false">
      <c r="A24" s="26" t="s">
        <v>112</v>
      </c>
      <c r="B24" s="18" t="n">
        <v>46307</v>
      </c>
      <c r="C24" s="18" t="n">
        <v>46313</v>
      </c>
      <c r="D24" s="19" t="n">
        <f aca="false">SUMIFS('Tháng 7'!$J$8:$J$107,'Tháng 7'!$B$8:$B$107,"&gt;="&amp;$B24,'Tháng 7'!$B$8:$B$107,"&lt;="&amp;$C24)+SUMIFS('Tháng 8'!$J$8:$J$107,'Tháng 8'!$B$8:$B$107,"&gt;="&amp;$B24,'Tháng 8'!$B$8:$B$107,"&lt;="&amp;$C24)+SUMIFS('Tháng 9'!$J$8:$J$107,'Tháng 9'!$B$8:$B$107,"&gt;="&amp;$B24,'Tháng 9'!$B$8:$B$107,"&lt;="&amp;$C24)+SUMIFS('Tháng 10'!$J$8:$J$107,'Tháng 10'!$B$8:$B$107,"&gt;="&amp;$B24,'Tháng 10'!$B$8:$B$107,"&lt;="&amp;$C24)+SUMIFS('Tháng 11'!$J$8:$J$107,'Tháng 11'!$B$8:$B$107,"&gt;="&amp;$B24,'Tháng 11'!$B$8:$B$107,"&lt;="&amp;$C24)+SUMIFS('Tháng 12'!$J$8:$J$107,'Tháng 12'!$B$8:$B$107,"&gt;="&amp;$B24,'Tháng 12'!$B$8:$B$107,"&lt;="&amp;$C24)</f>
        <v>0</v>
      </c>
    </row>
    <row r="25" customFormat="false" ht="15" hidden="false" customHeight="false" outlineLevel="0" collapsed="false">
      <c r="A25" s="26" t="s">
        <v>113</v>
      </c>
      <c r="B25" s="18" t="n">
        <v>46314</v>
      </c>
      <c r="C25" s="18" t="n">
        <v>46320</v>
      </c>
      <c r="D25" s="19" t="n">
        <f aca="false">SUMIFS('Tháng 7'!$J$8:$J$107,'Tháng 7'!$B$8:$B$107,"&gt;="&amp;$B25,'Tháng 7'!$B$8:$B$107,"&lt;="&amp;$C25)+SUMIFS('Tháng 8'!$J$8:$J$107,'Tháng 8'!$B$8:$B$107,"&gt;="&amp;$B25,'Tháng 8'!$B$8:$B$107,"&lt;="&amp;$C25)+SUMIFS('Tháng 9'!$J$8:$J$107,'Tháng 9'!$B$8:$B$107,"&gt;="&amp;$B25,'Tháng 9'!$B$8:$B$107,"&lt;="&amp;$C25)+SUMIFS('Tháng 10'!$J$8:$J$107,'Tháng 10'!$B$8:$B$107,"&gt;="&amp;$B25,'Tháng 10'!$B$8:$B$107,"&lt;="&amp;$C25)+SUMIFS('Tháng 11'!$J$8:$J$107,'Tháng 11'!$B$8:$B$107,"&gt;="&amp;$B25,'Tháng 11'!$B$8:$B$107,"&lt;="&amp;$C25)+SUMIFS('Tháng 12'!$J$8:$J$107,'Tháng 12'!$B$8:$B$107,"&gt;="&amp;$B25,'Tháng 12'!$B$8:$B$107,"&lt;="&amp;$C25)</f>
        <v>0</v>
      </c>
    </row>
    <row r="26" customFormat="false" ht="15" hidden="false" customHeight="false" outlineLevel="0" collapsed="false">
      <c r="A26" s="26" t="s">
        <v>114</v>
      </c>
      <c r="B26" s="18" t="n">
        <v>46321</v>
      </c>
      <c r="C26" s="18" t="n">
        <v>46327</v>
      </c>
      <c r="D26" s="19" t="n">
        <f aca="false">SUMIFS('Tháng 7'!$J$8:$J$107,'Tháng 7'!$B$8:$B$107,"&gt;="&amp;$B26,'Tháng 7'!$B$8:$B$107,"&lt;="&amp;$C26)+SUMIFS('Tháng 8'!$J$8:$J$107,'Tháng 8'!$B$8:$B$107,"&gt;="&amp;$B26,'Tháng 8'!$B$8:$B$107,"&lt;="&amp;$C26)+SUMIFS('Tháng 9'!$J$8:$J$107,'Tháng 9'!$B$8:$B$107,"&gt;="&amp;$B26,'Tháng 9'!$B$8:$B$107,"&lt;="&amp;$C26)+SUMIFS('Tháng 10'!$J$8:$J$107,'Tháng 10'!$B$8:$B$107,"&gt;="&amp;$B26,'Tháng 10'!$B$8:$B$107,"&lt;="&amp;$C26)+SUMIFS('Tháng 11'!$J$8:$J$107,'Tháng 11'!$B$8:$B$107,"&gt;="&amp;$B26,'Tháng 11'!$B$8:$B$107,"&lt;="&amp;$C26)+SUMIFS('Tháng 12'!$J$8:$J$107,'Tháng 12'!$B$8:$B$107,"&gt;="&amp;$B26,'Tháng 12'!$B$8:$B$107,"&lt;="&amp;$C26)</f>
        <v>0</v>
      </c>
    </row>
    <row r="27" customFormat="false" ht="15" hidden="false" customHeight="false" outlineLevel="0" collapsed="false">
      <c r="A27" s="26" t="s">
        <v>115</v>
      </c>
      <c r="B27" s="18" t="n">
        <v>46328</v>
      </c>
      <c r="C27" s="18" t="n">
        <v>46334</v>
      </c>
      <c r="D27" s="19" t="n">
        <f aca="false">SUMIFS('Tháng 7'!$J$8:$J$107,'Tháng 7'!$B$8:$B$107,"&gt;="&amp;$B27,'Tháng 7'!$B$8:$B$107,"&lt;="&amp;$C27)+SUMIFS('Tháng 8'!$J$8:$J$107,'Tháng 8'!$B$8:$B$107,"&gt;="&amp;$B27,'Tháng 8'!$B$8:$B$107,"&lt;="&amp;$C27)+SUMIFS('Tháng 9'!$J$8:$J$107,'Tháng 9'!$B$8:$B$107,"&gt;="&amp;$B27,'Tháng 9'!$B$8:$B$107,"&lt;="&amp;$C27)+SUMIFS('Tháng 10'!$J$8:$J$107,'Tháng 10'!$B$8:$B$107,"&gt;="&amp;$B27,'Tháng 10'!$B$8:$B$107,"&lt;="&amp;$C27)+SUMIFS('Tháng 11'!$J$8:$J$107,'Tháng 11'!$B$8:$B$107,"&gt;="&amp;$B27,'Tháng 11'!$B$8:$B$107,"&lt;="&amp;$C27)+SUMIFS('Tháng 12'!$J$8:$J$107,'Tháng 12'!$B$8:$B$107,"&gt;="&amp;$B27,'Tháng 12'!$B$8:$B$107,"&lt;="&amp;$C27)</f>
        <v>0</v>
      </c>
    </row>
    <row r="28" customFormat="false" ht="15" hidden="false" customHeight="false" outlineLevel="0" collapsed="false">
      <c r="A28" s="26" t="s">
        <v>116</v>
      </c>
      <c r="B28" s="18" t="n">
        <v>46335</v>
      </c>
      <c r="C28" s="18" t="n">
        <v>46341</v>
      </c>
      <c r="D28" s="19" t="n">
        <f aca="false">SUMIFS('Tháng 7'!$J$8:$J$107,'Tháng 7'!$B$8:$B$107,"&gt;="&amp;$B28,'Tháng 7'!$B$8:$B$107,"&lt;="&amp;$C28)+SUMIFS('Tháng 8'!$J$8:$J$107,'Tháng 8'!$B$8:$B$107,"&gt;="&amp;$B28,'Tháng 8'!$B$8:$B$107,"&lt;="&amp;$C28)+SUMIFS('Tháng 9'!$J$8:$J$107,'Tháng 9'!$B$8:$B$107,"&gt;="&amp;$B28,'Tháng 9'!$B$8:$B$107,"&lt;="&amp;$C28)+SUMIFS('Tháng 10'!$J$8:$J$107,'Tháng 10'!$B$8:$B$107,"&gt;="&amp;$B28,'Tháng 10'!$B$8:$B$107,"&lt;="&amp;$C28)+SUMIFS('Tháng 11'!$J$8:$J$107,'Tháng 11'!$B$8:$B$107,"&gt;="&amp;$B28,'Tháng 11'!$B$8:$B$107,"&lt;="&amp;$C28)+SUMIFS('Tháng 12'!$J$8:$J$107,'Tháng 12'!$B$8:$B$107,"&gt;="&amp;$B28,'Tháng 12'!$B$8:$B$107,"&lt;="&amp;$C28)</f>
        <v>0</v>
      </c>
    </row>
    <row r="29" customFormat="false" ht="15" hidden="false" customHeight="false" outlineLevel="0" collapsed="false">
      <c r="A29" s="26" t="s">
        <v>117</v>
      </c>
      <c r="B29" s="18" t="n">
        <v>46342</v>
      </c>
      <c r="C29" s="18" t="n">
        <v>46348</v>
      </c>
      <c r="D29" s="19" t="n">
        <f aca="false">SUMIFS('Tháng 7'!$J$8:$J$107,'Tháng 7'!$B$8:$B$107,"&gt;="&amp;$B29,'Tháng 7'!$B$8:$B$107,"&lt;="&amp;$C29)+SUMIFS('Tháng 8'!$J$8:$J$107,'Tháng 8'!$B$8:$B$107,"&gt;="&amp;$B29,'Tháng 8'!$B$8:$B$107,"&lt;="&amp;$C29)+SUMIFS('Tháng 9'!$J$8:$J$107,'Tháng 9'!$B$8:$B$107,"&gt;="&amp;$B29,'Tháng 9'!$B$8:$B$107,"&lt;="&amp;$C29)+SUMIFS('Tháng 10'!$J$8:$J$107,'Tháng 10'!$B$8:$B$107,"&gt;="&amp;$B29,'Tháng 10'!$B$8:$B$107,"&lt;="&amp;$C29)+SUMIFS('Tháng 11'!$J$8:$J$107,'Tháng 11'!$B$8:$B$107,"&gt;="&amp;$B29,'Tháng 11'!$B$8:$B$107,"&lt;="&amp;$C29)+SUMIFS('Tháng 12'!$J$8:$J$107,'Tháng 12'!$B$8:$B$107,"&gt;="&amp;$B29,'Tháng 12'!$B$8:$B$107,"&lt;="&amp;$C29)</f>
        <v>0</v>
      </c>
    </row>
    <row r="30" customFormat="false" ht="15" hidden="false" customHeight="false" outlineLevel="0" collapsed="false">
      <c r="A30" s="26" t="s">
        <v>118</v>
      </c>
      <c r="B30" s="18" t="n">
        <v>46349</v>
      </c>
      <c r="C30" s="18" t="n">
        <v>46355</v>
      </c>
      <c r="D30" s="19" t="n">
        <f aca="false">SUMIFS('Tháng 7'!$J$8:$J$107,'Tháng 7'!$B$8:$B$107,"&gt;="&amp;$B30,'Tháng 7'!$B$8:$B$107,"&lt;="&amp;$C30)+SUMIFS('Tháng 8'!$J$8:$J$107,'Tháng 8'!$B$8:$B$107,"&gt;="&amp;$B30,'Tháng 8'!$B$8:$B$107,"&lt;="&amp;$C30)+SUMIFS('Tháng 9'!$J$8:$J$107,'Tháng 9'!$B$8:$B$107,"&gt;="&amp;$B30,'Tháng 9'!$B$8:$B$107,"&lt;="&amp;$C30)+SUMIFS('Tháng 10'!$J$8:$J$107,'Tháng 10'!$B$8:$B$107,"&gt;="&amp;$B30,'Tháng 10'!$B$8:$B$107,"&lt;="&amp;$C30)+SUMIFS('Tháng 11'!$J$8:$J$107,'Tháng 11'!$B$8:$B$107,"&gt;="&amp;$B30,'Tháng 11'!$B$8:$B$107,"&lt;="&amp;$C30)+SUMIFS('Tháng 12'!$J$8:$J$107,'Tháng 12'!$B$8:$B$107,"&gt;="&amp;$B30,'Tháng 12'!$B$8:$B$107,"&lt;="&amp;$C30)</f>
        <v>0</v>
      </c>
    </row>
    <row r="31" customFormat="false" ht="15" hidden="false" customHeight="false" outlineLevel="0" collapsed="false">
      <c r="A31" s="26" t="s">
        <v>119</v>
      </c>
      <c r="B31" s="18" t="n">
        <v>46356</v>
      </c>
      <c r="C31" s="18" t="n">
        <v>46362</v>
      </c>
      <c r="D31" s="19" t="n">
        <f aca="false">SUMIFS('Tháng 7'!$J$8:$J$107,'Tháng 7'!$B$8:$B$107,"&gt;="&amp;$B31,'Tháng 7'!$B$8:$B$107,"&lt;="&amp;$C31)+SUMIFS('Tháng 8'!$J$8:$J$107,'Tháng 8'!$B$8:$B$107,"&gt;="&amp;$B31,'Tháng 8'!$B$8:$B$107,"&lt;="&amp;$C31)+SUMIFS('Tháng 9'!$J$8:$J$107,'Tháng 9'!$B$8:$B$107,"&gt;="&amp;$B31,'Tháng 9'!$B$8:$B$107,"&lt;="&amp;$C31)+SUMIFS('Tháng 10'!$J$8:$J$107,'Tháng 10'!$B$8:$B$107,"&gt;="&amp;$B31,'Tháng 10'!$B$8:$B$107,"&lt;="&amp;$C31)+SUMIFS('Tháng 11'!$J$8:$J$107,'Tháng 11'!$B$8:$B$107,"&gt;="&amp;$B31,'Tháng 11'!$B$8:$B$107,"&lt;="&amp;$C31)+SUMIFS('Tháng 12'!$J$8:$J$107,'Tháng 12'!$B$8:$B$107,"&gt;="&amp;$B31,'Tháng 12'!$B$8:$B$107,"&lt;="&amp;$C31)</f>
        <v>0</v>
      </c>
    </row>
    <row r="32" customFormat="false" ht="15" hidden="false" customHeight="false" outlineLevel="0" collapsed="false">
      <c r="A32" s="26" t="s">
        <v>120</v>
      </c>
      <c r="B32" s="18" t="n">
        <v>46363</v>
      </c>
      <c r="C32" s="18" t="n">
        <v>46369</v>
      </c>
      <c r="D32" s="19" t="n">
        <f aca="false">SUMIFS('Tháng 7'!$J$8:$J$107,'Tháng 7'!$B$8:$B$107,"&gt;="&amp;$B32,'Tháng 7'!$B$8:$B$107,"&lt;="&amp;$C32)+SUMIFS('Tháng 8'!$J$8:$J$107,'Tháng 8'!$B$8:$B$107,"&gt;="&amp;$B32,'Tháng 8'!$B$8:$B$107,"&lt;="&amp;$C32)+SUMIFS('Tháng 9'!$J$8:$J$107,'Tháng 9'!$B$8:$B$107,"&gt;="&amp;$B32,'Tháng 9'!$B$8:$B$107,"&lt;="&amp;$C32)+SUMIFS('Tháng 10'!$J$8:$J$107,'Tháng 10'!$B$8:$B$107,"&gt;="&amp;$B32,'Tháng 10'!$B$8:$B$107,"&lt;="&amp;$C32)+SUMIFS('Tháng 11'!$J$8:$J$107,'Tháng 11'!$B$8:$B$107,"&gt;="&amp;$B32,'Tháng 11'!$B$8:$B$107,"&lt;="&amp;$C32)+SUMIFS('Tháng 12'!$J$8:$J$107,'Tháng 12'!$B$8:$B$107,"&gt;="&amp;$B32,'Tháng 12'!$B$8:$B$107,"&lt;="&amp;$C32)</f>
        <v>0</v>
      </c>
    </row>
    <row r="33" customFormat="false" ht="15" hidden="false" customHeight="false" outlineLevel="0" collapsed="false">
      <c r="A33" s="26" t="s">
        <v>121</v>
      </c>
      <c r="B33" s="18" t="n">
        <v>46370</v>
      </c>
      <c r="C33" s="18" t="n">
        <v>46376</v>
      </c>
      <c r="D33" s="19" t="n">
        <f aca="false">SUMIFS('Tháng 7'!$J$8:$J$107,'Tháng 7'!$B$8:$B$107,"&gt;="&amp;$B33,'Tháng 7'!$B$8:$B$107,"&lt;="&amp;$C33)+SUMIFS('Tháng 8'!$J$8:$J$107,'Tháng 8'!$B$8:$B$107,"&gt;="&amp;$B33,'Tháng 8'!$B$8:$B$107,"&lt;="&amp;$C33)+SUMIFS('Tháng 9'!$J$8:$J$107,'Tháng 9'!$B$8:$B$107,"&gt;="&amp;$B33,'Tháng 9'!$B$8:$B$107,"&lt;="&amp;$C33)+SUMIFS('Tháng 10'!$J$8:$J$107,'Tháng 10'!$B$8:$B$107,"&gt;="&amp;$B33,'Tháng 10'!$B$8:$B$107,"&lt;="&amp;$C33)+SUMIFS('Tháng 11'!$J$8:$J$107,'Tháng 11'!$B$8:$B$107,"&gt;="&amp;$B33,'Tháng 11'!$B$8:$B$107,"&lt;="&amp;$C33)+SUMIFS('Tháng 12'!$J$8:$J$107,'Tháng 12'!$B$8:$B$107,"&gt;="&amp;$B33,'Tháng 12'!$B$8:$B$107,"&lt;="&amp;$C33)</f>
        <v>0</v>
      </c>
    </row>
    <row r="34" customFormat="false" ht="15" hidden="false" customHeight="false" outlineLevel="0" collapsed="false">
      <c r="A34" s="26" t="s">
        <v>122</v>
      </c>
      <c r="B34" s="18" t="n">
        <v>46377</v>
      </c>
      <c r="C34" s="18" t="n">
        <v>46383</v>
      </c>
      <c r="D34" s="19" t="n">
        <f aca="false">SUMIFS('Tháng 7'!$J$8:$J$107,'Tháng 7'!$B$8:$B$107,"&gt;="&amp;$B34,'Tháng 7'!$B$8:$B$107,"&lt;="&amp;$C34)+SUMIFS('Tháng 8'!$J$8:$J$107,'Tháng 8'!$B$8:$B$107,"&gt;="&amp;$B34,'Tháng 8'!$B$8:$B$107,"&lt;="&amp;$C34)+SUMIFS('Tháng 9'!$J$8:$J$107,'Tháng 9'!$B$8:$B$107,"&gt;="&amp;$B34,'Tháng 9'!$B$8:$B$107,"&lt;="&amp;$C34)+SUMIFS('Tháng 10'!$J$8:$J$107,'Tháng 10'!$B$8:$B$107,"&gt;="&amp;$B34,'Tháng 10'!$B$8:$B$107,"&lt;="&amp;$C34)+SUMIFS('Tháng 11'!$J$8:$J$107,'Tháng 11'!$B$8:$B$107,"&gt;="&amp;$B34,'Tháng 11'!$B$8:$B$107,"&lt;="&amp;$C34)+SUMIFS('Tháng 12'!$J$8:$J$107,'Tháng 12'!$B$8:$B$107,"&gt;="&amp;$B34,'Tháng 12'!$B$8:$B$107,"&lt;="&amp;$C34)</f>
        <v>0</v>
      </c>
    </row>
    <row r="35" customFormat="false" ht="15" hidden="false" customHeight="false" outlineLevel="0" collapsed="false">
      <c r="A35" s="26" t="s">
        <v>123</v>
      </c>
      <c r="B35" s="18" t="n">
        <v>46384</v>
      </c>
      <c r="C35" s="18" t="n">
        <v>46390</v>
      </c>
      <c r="D35" s="19" t="n">
        <f aca="false">SUMIFS('Tháng 7'!$J$8:$J$107,'Tháng 7'!$B$8:$B$107,"&gt;="&amp;$B35,'Tháng 7'!$B$8:$B$107,"&lt;="&amp;$C35)+SUMIFS('Tháng 8'!$J$8:$J$107,'Tháng 8'!$B$8:$B$107,"&gt;="&amp;$B35,'Tháng 8'!$B$8:$B$107,"&lt;="&amp;$C35)+SUMIFS('Tháng 9'!$J$8:$J$107,'Tháng 9'!$B$8:$B$107,"&gt;="&amp;$B35,'Tháng 9'!$B$8:$B$107,"&lt;="&amp;$C35)+SUMIFS('Tháng 10'!$J$8:$J$107,'Tháng 10'!$B$8:$B$107,"&gt;="&amp;$B35,'Tháng 10'!$B$8:$B$107,"&lt;="&amp;$C35)+SUMIFS('Tháng 11'!$J$8:$J$107,'Tháng 11'!$B$8:$B$107,"&gt;="&amp;$B35,'Tháng 11'!$B$8:$B$107,"&lt;="&amp;$C35)+SUMIFS('Tháng 12'!$J$8:$J$107,'Tháng 12'!$B$8:$B$107,"&gt;="&amp;$B35,'Tháng 12'!$B$8:$B$107,"&lt;="&amp;$C35)</f>
        <v>0</v>
      </c>
    </row>
  </sheetData>
  <mergeCells count="8">
    <mergeCell ref="A1:I1"/>
    <mergeCell ref="A3:D3"/>
    <mergeCell ref="A4:B4"/>
    <mergeCell ref="A5:B5"/>
    <mergeCell ref="A7:D7"/>
    <mergeCell ref="F7:I7"/>
    <mergeCell ref="F16:I16"/>
    <mergeCell ref="F20:I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2026-07-21T03:29:31Z</dcterms:created>
  <dc:creator>openpyxl</dc:creator>
  <dc:description/>
  <dc:language>en-US</dc:language>
  <cp:lastModifiedBy/>
  <dcterms:modified xsi:type="dcterms:W3CDTF">2026-07-21T03:29:31Z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