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háng 6" sheetId="2" state="visible" r:id="rId4"/>
    <sheet name="Tháng 7" sheetId="3" state="visible" r:id="rId5"/>
    <sheet name="Tháng 8" sheetId="4" state="visible" r:id="rId6"/>
    <sheet name="Tháng 9" sheetId="5" state="visible" r:id="rId7"/>
    <sheet name="Tháng 10" sheetId="6" state="visible" r:id="rId8"/>
    <sheet name="Tháng 11" sheetId="7" state="visible" r:id="rId9"/>
    <sheet name="Tháng 12" sheetId="8" state="visible" r:id="rId10"/>
    <sheet name="BÁO CÁO NĂM"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<sst xmlns="http://schemas.openxmlformats.org/spreadsheetml/2006/main" count="279" uniqueCount="145">
  <si>
    <t xml:space="preserve">HƯỚNG DẪN SỬ DỤNG FILE BÁO CÁO DOANH THU - THÔNG TIN ĐƠN HÀNG (THÁNG 6 - THÁNG 12/2026)</t>
  </si>
  <si>
    <t xml:space="preserve">1. CẤU TRÚC FILE</t>
  </si>
  <si>
    <t xml:space="preserve">   • 7 sheet 'Tháng 6' → 'Tháng 12': nhập đơn hàng của từng tháng, mỗi tháng 1 sheet riêng.</t>
  </si>
  <si>
    <t xml:space="preserve">   • Sheet 'BÁO CÁO NĂM': tự động tính doanh thu theo NGÀY - TUẦN - THÁNG - QUÝ - NĂM, không cần nhập gì thêm.</t>
  </si>
  <si>
    <t xml:space="preserve">2. CÁCH NHẬP LIỆU (trong các sheet tháng)</t>
  </si>
  <si>
    <t xml:space="preserve">   • Chỉ nhập vào các cột: NGÀY ĐẶT, TÊN KHÁCH HÀNG, CÔNG TY, MÃ SỐ THUẾ, SỐ ĐIỆN THOẠI, TÊN SẢN PHẨM, SỐ LƯỢNG, ĐƠN GIÁ, HÌNH ẢNH, TÌNH TRẠNG CHUYỂN KHOẢN, ĐỊA CHỈ GIAO HÀNG, GHI CHÚ.</t>
  </si>
  <si>
    <t xml:space="preserve">   • Cột STT và THÀNH TIỀN tự tính, KHÔNG sửa (Thành tiền = Số lượng × Đơn giá).</t>
  </si>
  <si>
    <t xml:space="preserve">   • NGÀY ĐẶT nhập dạng dd/mm/yyyy (ví dụ 05/07/2026) — bắt buộc đúng định dạng thì báo cáo mới tính được.</t>
  </si>
  <si>
    <t xml:space="preserve">   • TÌNH TRẠNG CHUYỂN KHOẢN: bấm vào ô sẽ có danh sách chọn 'Đã chuyển khoản' / 'Chưa chuyển khoản' (ô tự đổi màu xanh/đỏ).</t>
  </si>
  <si>
    <t xml:space="preserve">   • Sheet 'Tháng 6' có sẵn 3 dòng VÍ DỤ MẪU (chữ màu xanh dương) — hãy xóa hoặc ghi đè bằng dữ liệu thật của bạn.</t>
  </si>
  <si>
    <t xml:space="preserve">3. CÁCH CHÈN HÌNH ẢNH SẢN PHẨM VÀO Ô</t>
  </si>
  <si>
    <t xml:space="preserve">   • Trên Google Sheets: bấm chọn ô ở cột HÌNH ẢNH SẢN PHẨM → menu Chèn (Insert) → Hình ảnh (Image) → 'Chèn hình ảnh trong ô' (Insert image in cell).</t>
  </si>
  <si>
    <t xml:space="preserve">   • Trên Excel: chọn ô → Insert → Pictures → Place in Cell.</t>
  </si>
  <si>
    <t xml:space="preserve">   • Hoặc dán công thức =IMAGE("link ảnh") nếu ảnh có đường link trên mạng (Google Sheets).</t>
  </si>
  <si>
    <t xml:space="preserve">4. BẢNG DOANH THU THEO NGÀY (bên phải mỗi sheet tháng)</t>
  </si>
  <si>
    <t xml:space="preserve">   • Cột P-Q của mỗi sheet tháng tự cộng doanh thu của từng ngày trong tháng đó.</t>
  </si>
  <si>
    <t xml:space="preserve">   • File 'thông tin khách hàng đặt hàng' (file riêng) tự kéo NGÀY ĐẶT - TÊN - SĐT - ĐỊA CHỈ từ file này sang, không cần nhập lại.</t>
  </si>
  <si>
    <t xml:space="preserve">5. SHEET 'BÁO CÁO NĂM'</t>
  </si>
  <si>
    <t xml:space="preserve">   • TRA CỨU THEO NGÀY: gõ 1 ngày bất kỳ vào ô màu VÀNG → ô bên cạnh hiện doanh thu của đúng ngày đó.</t>
  </si>
  <si>
    <t xml:space="preserve">   • DOANH THU THEO TUẦN: mỗi tuần (Thứ 2 → Chủ nhật) 1 dòng, tự cộng từ tất cả 7 sheet tháng.</t>
  </si>
  <si>
    <t xml:space="preserve">   • DOANH THU THEO THÁNG / QUÝ / NĂM: tự động lấy từ các sheet tháng, kèm tổng ĐÃ và CHƯA chuyển khoản.</t>
  </si>
  <si>
    <t xml:space="preserve">6. THÊM DÒNG KHI HẾT CHỖ</t>
  </si>
  <si>
    <t xml:space="preserve">   • Mỗi sheet tháng có sẵn 400 dòng (dòng 8 → 407) đã cài công thức — đủ cho hơn 10 đơn/ngày cả tháng.</t>
  </si>
  <si>
    <t xml:space="preserve">   • Muốn thêm: bôi đen 1 dòng GIỮA bảng (ví dụ dòng 200) → chuột phải → 'Chèn 1 hàng phía trên', rồi kéo công thức cột STT và THÀNH TIỀN từ dòng trên xuống. Mọi công thức báo cáo sẽ tự mở rộng theo.</t>
  </si>
  <si>
    <t xml:space="preserve">   • KHÔNG nhập dữ liệu xuống dưới dòng 407 (ngoài bảng) — báo cáo sẽ không cộng phần đó.</t>
  </si>
  <si>
    <t xml:space="preserve">7. QUY ƯỚC MÀU</t>
  </si>
  <si>
    <t xml:space="preserve">   • Chữ XANH DƯƠNG: dữ liệu ví dụ / ô người dùng nhập.  • Chữ ĐEN: công thức tự tính.  • Chữ XANH LÁ: số lấy từ sheet khác.  • Ô nền VÀNG: ô cần bạn nhập.</t>
  </si>
  <si>
    <t xml:space="preserve">BÁO CÁO DOANH THU THÁNG 6/2026</t>
  </si>
  <si>
    <t xml:space="preserve">TỔNG DOANH THU THÁNG (đ):</t>
  </si>
  <si>
    <t xml:space="preserve">ĐÃ CHUYỂN KHOẢN (đ):</t>
  </si>
  <si>
    <t xml:space="preserve">CHƯA CHUYỂN KHOẢN (đ):</t>
  </si>
  <si>
    <t xml:space="preserve">DOANH THU THEO NGÀY</t>
  </si>
  <si>
    <t xml:space="preserve">STT</t>
  </si>
  <si>
    <t xml:space="preserve">NGÀY ĐẶT</t>
  </si>
  <si>
    <t xml:space="preserve">TÊN KHÁCH HÀNG</t>
  </si>
  <si>
    <t xml:space="preserve">CÔNG TY</t>
  </si>
  <si>
    <t xml:space="preserve">MÃ SỐ THUẾ</t>
  </si>
  <si>
    <t xml:space="preserve">SỐ ĐIỆN THOẠI</t>
  </si>
  <si>
    <t xml:space="preserve">TÊN SẢN PHẨM</t>
  </si>
  <si>
    <t xml:space="preserve">SỐ LƯỢNG</t>
  </si>
  <si>
    <t xml:space="preserve">ĐƠN GIÁ (đ)</t>
  </si>
  <si>
    <t xml:space="preserve">THÀNH TIỀN (đ)</t>
  </si>
  <si>
    <t xml:space="preserve">HÌNH ẢNH SẢN PHẨM</t>
  </si>
  <si>
    <t xml:space="preserve">TÌNH TRẠNG CHUYỂN KHOẢN</t>
  </si>
  <si>
    <t xml:space="preserve">ĐỊA CHỈ GIAO HÀNG</t>
  </si>
  <si>
    <t xml:space="preserve">GHI CHÚ</t>
  </si>
  <si>
    <t xml:space="preserve">NGÀY</t>
  </si>
  <si>
    <t xml:space="preserve">DOANH THU (đ)</t>
  </si>
  <si>
    <t xml:space="preserve">Nguyễn Văn An</t>
  </si>
  <si>
    <t xml:space="preserve">Công ty TNHH Thương Mại ABC</t>
  </si>
  <si>
    <t xml:space="preserve">0312345678</t>
  </si>
  <si>
    <t xml:space="preserve">0901234567</t>
  </si>
  <si>
    <t xml:space="preserve">Bình giữ nhiệt in logo</t>
  </si>
  <si>
    <t xml:space="preserve">(chèn ảnh vào ô này)</t>
  </si>
  <si>
    <t xml:space="preserve">Đã chuyển khoản</t>
  </si>
  <si>
    <t xml:space="preserve">12 Nguyễn Trãi, Thanh Xuân, Hà Nội</t>
  </si>
  <si>
    <t xml:space="preserve">Giao đợt 1 (VÍ DỤ MẪU)</t>
  </si>
  <si>
    <t xml:space="preserve">Trần Thị Bích</t>
  </si>
  <si>
    <t xml:space="preserve">Công ty CP Đầu Tư XYZ</t>
  </si>
  <si>
    <t xml:space="preserve">0109876543</t>
  </si>
  <si>
    <t xml:space="preserve">0987654321</t>
  </si>
  <si>
    <t xml:space="preserve">Sổ tay da in logo</t>
  </si>
  <si>
    <t xml:space="preserve">Chưa chuyển khoản</t>
  </si>
  <si>
    <t xml:space="preserve">45 Lê Lợi, Quận 1, TP.HCM</t>
  </si>
  <si>
    <t xml:space="preserve">(VÍ DỤ MẪU)</t>
  </si>
  <si>
    <t xml:space="preserve">Lê Minh Cường</t>
  </si>
  <si>
    <t xml:space="preserve">Công ty TNHH DEF</t>
  </si>
  <si>
    <t xml:space="preserve">0301122334</t>
  </si>
  <si>
    <t xml:space="preserve">0912345678</t>
  </si>
  <si>
    <t xml:space="preserve">Bút ký khắc tên</t>
  </si>
  <si>
    <t xml:space="preserve">88 Trần Phú, Hải Châu, Đà Nẵng</t>
  </si>
  <si>
    <t xml:space="preserve">Khách quen (VÍ DỤ MẪU)</t>
  </si>
  <si>
    <t xml:space="preserve">CỘNG THÁNG</t>
  </si>
  <si>
    <t xml:space="preserve">BÁO CÁO DOANH THU THÁNG 7/2026</t>
  </si>
  <si>
    <t xml:space="preserve">cty flc</t>
  </si>
  <si>
    <t xml:space="preserve">ctyflc</t>
  </si>
  <si>
    <t xml:space="preserve">2500740944</t>
  </si>
  <si>
    <t xml:space="preserve">0866688324</t>
  </si>
  <si>
    <t xml:space="preserve">tedy 25cm</t>
  </si>
  <si>
    <t xml:space="preserve">khách cũ</t>
  </si>
  <si>
    <t xml:space="preserve">flc 1</t>
  </si>
  <si>
    <t xml:space="preserve">nvk</t>
  </si>
  <si>
    <t xml:space="preserve">tedty 30</t>
  </si>
  <si>
    <t xml:space="preserve">BÁO CÁO DOANH THU THÁNG 8/2026</t>
  </si>
  <si>
    <t xml:space="preserve">BÁO CÁO DOANH THU THÁNG 9/2026</t>
  </si>
  <si>
    <t xml:space="preserve">BÁO CÁO DOANH THU THÁNG 10/2026</t>
  </si>
  <si>
    <t xml:space="preserve">BÁO CÁO DOANH THU THÁNG 11/2026</t>
  </si>
  <si>
    <t xml:space="preserve">BÁO CÁO DOANH THU THÁNG 12/2026</t>
  </si>
  <si>
    <t xml:space="preserve">BÁO CÁO TỔNG HỢP DOANH THU NĂM 2026 (THÁNG 6 → THÁNG 12)</t>
  </si>
  <si>
    <t xml:space="preserve">1. TRA CỨU DOANH THU THEO NGÀY</t>
  </si>
  <si>
    <t xml:space="preserve">Nhập ngày cần xem:</t>
  </si>
  <si>
    <t xml:space="preserve">→ Doanh thu ngày đó hiện ở ô D4</t>
  </si>
  <si>
    <t xml:space="preserve">2. DOANH THU THEO TUẦN (Thứ 2 → Chủ nhật)</t>
  </si>
  <si>
    <t xml:space="preserve">3. DOANH THU THEO THÁNG</t>
  </si>
  <si>
    <t xml:space="preserve">TUẦN</t>
  </si>
  <si>
    <t xml:space="preserve">TỪ NGÀY</t>
  </si>
  <si>
    <t xml:space="preserve">ĐẾN NGÀY</t>
  </si>
  <si>
    <t xml:space="preserve">THÁNG</t>
  </si>
  <si>
    <t xml:space="preserve">ĐÃ CK (đ)</t>
  </si>
  <si>
    <t xml:space="preserve">CHƯA CK (đ)</t>
  </si>
  <si>
    <t xml:space="preserve">Tuần 1</t>
  </si>
  <si>
    <t xml:space="preserve">Tháng 6/2026</t>
  </si>
  <si>
    <t xml:space="preserve">Tuần 2</t>
  </si>
  <si>
    <t xml:space="preserve">Tháng 7/2026</t>
  </si>
  <si>
    <t xml:space="preserve">Tuần 3</t>
  </si>
  <si>
    <t xml:space="preserve">Tháng 8/2026</t>
  </si>
  <si>
    <t xml:space="preserve">Tuần 4</t>
  </si>
  <si>
    <t xml:space="preserve">Tháng 9/2026</t>
  </si>
  <si>
    <t xml:space="preserve">Tuần 5</t>
  </si>
  <si>
    <t xml:space="preserve">Tháng 10/2026</t>
  </si>
  <si>
    <t xml:space="preserve">Tuần 6</t>
  </si>
  <si>
    <t xml:space="preserve">Tháng 11/2026</t>
  </si>
  <si>
    <t xml:space="preserve">Tuần 7</t>
  </si>
  <si>
    <t xml:space="preserve">Tháng 12/2026</t>
  </si>
  <si>
    <t xml:space="preserve">Tuần 8</t>
  </si>
  <si>
    <t xml:space="preserve">Tuần 9</t>
  </si>
  <si>
    <t xml:space="preserve">4. DOANH THU THEO QUÝ</t>
  </si>
  <si>
    <t xml:space="preserve">Tuần 10</t>
  </si>
  <si>
    <t xml:space="preserve">Quý 2/2026 (chỉ có T6)</t>
  </si>
  <si>
    <t xml:space="preserve">Tuần 11</t>
  </si>
  <si>
    <t xml:space="preserve">Quý 3/2026 (T7-T9)</t>
  </si>
  <si>
    <t xml:space="preserve">Tuần 12</t>
  </si>
  <si>
    <t xml:space="preserve">Quý 4/2026 (T10-T12)</t>
  </si>
  <si>
    <t xml:space="preserve">Tuần 13</t>
  </si>
  <si>
    <t xml:space="preserve">Tuần 14</t>
  </si>
  <si>
    <t xml:space="preserve">5. DOANH THU CẢ NĂM 2026</t>
  </si>
  <si>
    <t xml:space="preserve">Tuần 15</t>
  </si>
  <si>
    <t xml:space="preserve">TỔNG NĂM 2026</t>
  </si>
  <si>
    <t xml:space="preserve">Tuần 16</t>
  </si>
  <si>
    <t xml:space="preserve">Tuần 17</t>
  </si>
  <si>
    <t xml:space="preserve">Ghi chú: file theo dõi từ Tháng 6 đến Tháng 12/2026 nên Tổng năm = Quý 2 (chỉ T6) + Quý 3 + Quý 4. Các mốc ngày/tuần được tạo sẵn theo lịch 2026.</t>
  </si>
  <si>
    <t xml:space="preserve">Tuần 18</t>
  </si>
  <si>
    <t xml:space="preserve">Tuần 19</t>
  </si>
  <si>
    <t xml:space="preserve">Tuần 20</t>
  </si>
  <si>
    <t xml:space="preserve">Tuần 21</t>
  </si>
  <si>
    <t xml:space="preserve">Tuần 22</t>
  </si>
  <si>
    <t xml:space="preserve">Tuần 23</t>
  </si>
  <si>
    <t xml:space="preserve">Tuần 24</t>
  </si>
  <si>
    <t xml:space="preserve">Tuần 25</t>
  </si>
  <si>
    <t xml:space="preserve">Tuần 26</t>
  </si>
  <si>
    <t xml:space="preserve">Tuần 27</t>
  </si>
  <si>
    <t xml:space="preserve">Tuần 28</t>
  </si>
  <si>
    <t xml:space="preserve">Tuần 29</t>
  </si>
  <si>
    <t xml:space="preserve">Tuần 30</t>
  </si>
  <si>
    <t xml:space="preserve">Tuần 31</t>
  </si>
</sst>
</file>

<file path=xl/styles.xml><?xml version="1.0" encoding="utf-8"?>
<styleSheet xmlns="http://schemas.openxmlformats.org/spreadsheetml/2006/main">
  <numFmts count="6">
    <numFmt numFmtId="164" formatCode="General"/>
    <numFmt numFmtId="165" formatCode="dd/mm/yyyy"/>
    <numFmt numFmtId="166" formatCode="@"/>
    <numFmt numFmtId="167" formatCode="#,##0"/>
    <numFmt numFmtId="168" formatCode="#,##0;\(#,##0\);\-"/>
    <numFmt numFmtId="169" formatCode="yyyy\-mm\-dd"/>
  </numFmts>
  <fonts count="13">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1"/>
      <name val="Arial"/>
      <family val="0"/>
      <charset val="1"/>
    </font>
    <font>
      <sz val="10"/>
      <name val="Arial"/>
      <family val="0"/>
      <charset val="1"/>
    </font>
    <font>
      <b val="true"/>
      <sz val="14"/>
      <color rgb="FFFFFFFF"/>
      <name val="Arial"/>
      <family val="0"/>
      <charset val="1"/>
    </font>
    <font>
      <b val="true"/>
      <sz val="10"/>
      <color rgb="FFFFFFFF"/>
      <name val="Arial"/>
      <family val="0"/>
      <charset val="1"/>
    </font>
    <font>
      <sz val="10"/>
      <color rgb="FF0000FF"/>
      <name val="Arial"/>
      <family val="0"/>
      <charset val="1"/>
    </font>
    <font>
      <i val="true"/>
      <sz val="10"/>
      <color rgb="FF808080"/>
      <name val="Arial"/>
      <family val="0"/>
      <charset val="1"/>
    </font>
    <font>
      <sz val="10"/>
      <color rgb="FF008000"/>
      <name val="Arial"/>
      <family val="0"/>
      <charset val="1"/>
    </font>
    <font>
      <b val="true"/>
      <sz val="12"/>
      <color rgb="FF1F4E78"/>
      <name val="Arial"/>
      <family val="0"/>
      <charset val="1"/>
    </font>
  </fonts>
  <fills count="6">
    <fill>
      <patternFill patternType="none"/>
    </fill>
    <fill>
      <patternFill patternType="gray125"/>
    </fill>
    <fill>
      <patternFill patternType="solid">
        <fgColor rgb="FF1F4E78"/>
        <bgColor rgb="FF003366"/>
      </patternFill>
    </fill>
    <fill>
      <patternFill patternType="solid">
        <fgColor rgb="FFDDEBF7"/>
        <bgColor rgb="FFCCFFFF"/>
      </patternFill>
    </fill>
    <fill>
      <patternFill patternType="solid">
        <fgColor rgb="FF2E75B6"/>
        <bgColor rgb="FF0066CC"/>
      </patternFill>
    </fill>
    <fill>
      <patternFill patternType="solid">
        <fgColor rgb="FFFFFF00"/>
        <bgColor rgb="FFFFFF00"/>
      </patternFill>
    </fill>
  </fills>
  <borders count="2">
    <border diagonalUp="false" diagonalDown="false">
      <left/>
      <right/>
      <top/>
      <bottom/>
      <diagonal/>
    </border>
    <border diagonalUp="false" diagonalDown="false">
      <left style="thin">
        <color rgb="FFB0B0B0"/>
      </left>
      <right style="thin">
        <color rgb="FFB0B0B0"/>
      </right>
      <top style="thin">
        <color rgb="FFB0B0B0"/>
      </top>
      <bottom style="thin">
        <color rgb="FFB0B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8" fontId="5" fillId="3" borderId="0" xfId="0" applyFont="true" applyBorder="false" applyAlignment="true" applyProtection="false">
      <alignment horizontal="right" vertical="center" textRotation="0" wrapText="false" indent="0" shrinkToFit="false"/>
      <protection locked="true" hidden="false"/>
    </xf>
    <xf numFmtId="164" fontId="8" fillId="4" borderId="0"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right" vertical="center" textRotation="0" wrapText="false" indent="0" shrinkToFit="false"/>
      <protection locked="true" hidden="false"/>
    </xf>
    <xf numFmtId="164" fontId="8" fillId="4"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right" vertical="center"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8" fontId="12" fillId="3"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6" customFormat="false" ht="15" hidden="false" customHeight="false" outlineLevel="0" collapsed="false">
      <c r="B6" s="3" t="s">
        <v>3</v>
      </c>
    </row>
    <row r="7" customFormat="false" ht="15" hidden="false" customHeight="false" outlineLevel="0" collapsed="false">
      <c r="B7" s="3"/>
    </row>
    <row r="8" customFormat="false" ht="15" hidden="false" customHeight="false" outlineLevel="0" collapsed="false">
      <c r="B8" s="2" t="s">
        <v>4</v>
      </c>
    </row>
    <row r="9" customFormat="false" ht="23.85" hidden="false" customHeight="false" outlineLevel="0" collapsed="false">
      <c r="B9" s="3" t="s">
        <v>5</v>
      </c>
    </row>
    <row r="10" customFormat="false" ht="15" hidden="false" customHeight="false" outlineLevel="0" collapsed="false">
      <c r="B10" s="3" t="s">
        <v>6</v>
      </c>
    </row>
    <row r="11" customFormat="false" ht="15" hidden="false" customHeight="false" outlineLevel="0" collapsed="false">
      <c r="B11" s="3" t="s">
        <v>7</v>
      </c>
    </row>
    <row r="12" customFormat="false" ht="15" hidden="false" customHeight="false" outlineLevel="0" collapsed="false">
      <c r="B12" s="3" t="s">
        <v>8</v>
      </c>
    </row>
    <row r="13" customFormat="false" ht="15" hidden="false" customHeight="false" outlineLevel="0" collapsed="false">
      <c r="B13" s="3" t="s">
        <v>9</v>
      </c>
    </row>
    <row r="14" customFormat="false" ht="15" hidden="false" customHeight="false" outlineLevel="0" collapsed="false">
      <c r="B14" s="3"/>
    </row>
    <row r="15" customFormat="false" ht="15" hidden="false" customHeight="false" outlineLevel="0" collapsed="false">
      <c r="B15" s="2" t="s">
        <v>10</v>
      </c>
    </row>
    <row r="16" customFormat="false" ht="15" hidden="false" customHeight="false" outlineLevel="0" collapsed="false">
      <c r="B16" s="3" t="s">
        <v>11</v>
      </c>
    </row>
    <row r="17" customFormat="false" ht="15" hidden="false" customHeight="false" outlineLevel="0" collapsed="false">
      <c r="B17" s="3" t="s">
        <v>12</v>
      </c>
    </row>
    <row r="18" customFormat="false" ht="15" hidden="false" customHeight="false" outlineLevel="0" collapsed="false">
      <c r="B18" s="3" t="s">
        <v>13</v>
      </c>
    </row>
    <row r="19" customFormat="false" ht="15" hidden="false" customHeight="false" outlineLevel="0" collapsed="false">
      <c r="B19" s="3"/>
    </row>
    <row r="20" customFormat="false" ht="15" hidden="false" customHeight="false" outlineLevel="0" collapsed="false">
      <c r="B20" s="2" t="s">
        <v>14</v>
      </c>
    </row>
    <row r="21" customFormat="false" ht="15" hidden="false" customHeight="false" outlineLevel="0" collapsed="false">
      <c r="B21" s="3"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2"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row>
    <row r="29" customFormat="false" ht="15" hidden="false" customHeight="false" outlineLevel="0" collapsed="false">
      <c r="B29" s="2" t="s">
        <v>21</v>
      </c>
    </row>
    <row r="30" customFormat="false" ht="15" hidden="false" customHeight="false" outlineLevel="0" collapsed="false">
      <c r="B30" s="3" t="s">
        <v>22</v>
      </c>
    </row>
    <row r="31" customFormat="false" ht="23.85" hidden="false" customHeight="false" outlineLevel="0" collapsed="false">
      <c r="B31" s="3" t="s">
        <v>23</v>
      </c>
    </row>
    <row r="32" customFormat="false" ht="15" hidden="false" customHeight="false" outlineLevel="0" collapsed="false">
      <c r="B32" s="3" t="s">
        <v>24</v>
      </c>
    </row>
    <row r="33" customFormat="false" ht="15" hidden="false" customHeight="false" outlineLevel="0" collapsed="false">
      <c r="B33" s="3"/>
    </row>
    <row r="34" customFormat="false" ht="15" hidden="false" customHeight="false" outlineLevel="0" collapsed="false">
      <c r="B34" s="2" t="s">
        <v>25</v>
      </c>
    </row>
    <row r="35" customFormat="false" ht="15" hidden="false" customHeight="false" outlineLevel="0" collapsed="false">
      <c r="B3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27</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21500000</v>
      </c>
    </row>
    <row r="4" customFormat="false" ht="15" hidden="false" customHeight="true" outlineLevel="0" collapsed="false">
      <c r="B4" s="11" t="s">
        <v>29</v>
      </c>
      <c r="C4" s="11"/>
      <c r="D4" s="12" t="n">
        <f aca="false">SUMIF($L$8:$L$407,"Đã chuyển khoản",$J$8:$J$407)</f>
        <v>15500000</v>
      </c>
    </row>
    <row r="5" customFormat="false" ht="15" hidden="false" customHeight="true" outlineLevel="0" collapsed="false">
      <c r="B5" s="11" t="s">
        <v>30</v>
      </c>
      <c r="C5" s="11"/>
      <c r="D5" s="12" t="n">
        <f aca="false">SUMIF($L$8:$L$407,"Chưa chuyển khoản",$J$8:$J$407)</f>
        <v>6000000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n">
        <f aca="false">IF($B8="","",ROW()-7)</f>
        <v>1</v>
      </c>
      <c r="B8" s="15" t="n">
        <v>46176</v>
      </c>
      <c r="C8" s="16" t="s">
        <v>48</v>
      </c>
      <c r="D8" s="16" t="s">
        <v>49</v>
      </c>
      <c r="E8" s="16" t="s">
        <v>50</v>
      </c>
      <c r="F8" s="16" t="s">
        <v>51</v>
      </c>
      <c r="G8" s="16" t="s">
        <v>52</v>
      </c>
      <c r="H8" s="16" t="n">
        <v>100</v>
      </c>
      <c r="I8" s="16" t="n">
        <v>85000</v>
      </c>
      <c r="J8" s="9" t="n">
        <f aca="false">IF($H8="","",$H8*$I8)</f>
        <v>8500000</v>
      </c>
      <c r="K8" s="17" t="s">
        <v>53</v>
      </c>
      <c r="L8" s="16" t="s">
        <v>54</v>
      </c>
      <c r="M8" s="16" t="s">
        <v>55</v>
      </c>
      <c r="N8" s="16" t="s">
        <v>56</v>
      </c>
      <c r="P8" s="18" t="n">
        <v>46174</v>
      </c>
      <c r="Q8" s="19" t="n">
        <f aca="false">SUMIF($B$8:$B$407,$P8,$J$8:$J$407)</f>
        <v>0</v>
      </c>
    </row>
    <row r="9" customFormat="false" ht="15" hidden="false" customHeight="false" outlineLevel="0" collapsed="false">
      <c r="A9" s="4" t="n">
        <f aca="false">IF($B9="","",ROW()-7)</f>
        <v>2</v>
      </c>
      <c r="B9" s="15" t="n">
        <v>46183</v>
      </c>
      <c r="C9" s="16" t="s">
        <v>57</v>
      </c>
      <c r="D9" s="16" t="s">
        <v>58</v>
      </c>
      <c r="E9" s="16" t="s">
        <v>59</v>
      </c>
      <c r="F9" s="16" t="s">
        <v>60</v>
      </c>
      <c r="G9" s="16" t="s">
        <v>61</v>
      </c>
      <c r="H9" s="16" t="n">
        <v>50</v>
      </c>
      <c r="I9" s="16" t="n">
        <v>120000</v>
      </c>
      <c r="J9" s="9" t="n">
        <f aca="false">IF($H9="","",$H9*$I9)</f>
        <v>6000000</v>
      </c>
      <c r="K9" s="17" t="s">
        <v>53</v>
      </c>
      <c r="L9" s="16" t="s">
        <v>62</v>
      </c>
      <c r="M9" s="16" t="s">
        <v>63</v>
      </c>
      <c r="N9" s="16" t="s">
        <v>64</v>
      </c>
      <c r="P9" s="18" t="n">
        <v>46175</v>
      </c>
      <c r="Q9" s="19" t="n">
        <f aca="false">SUMIF($B$8:$B$407,$P9,$J$8:$J$407)</f>
        <v>0</v>
      </c>
    </row>
    <row r="10" customFormat="false" ht="15" hidden="false" customHeight="false" outlineLevel="0" collapsed="false">
      <c r="A10" s="4" t="n">
        <f aca="false">IF($B10="","",ROW()-7)</f>
        <v>3</v>
      </c>
      <c r="B10" s="15" t="n">
        <v>46188</v>
      </c>
      <c r="C10" s="16" t="s">
        <v>65</v>
      </c>
      <c r="D10" s="16" t="s">
        <v>66</v>
      </c>
      <c r="E10" s="16" t="s">
        <v>67</v>
      </c>
      <c r="F10" s="16" t="s">
        <v>68</v>
      </c>
      <c r="G10" s="16" t="s">
        <v>69</v>
      </c>
      <c r="H10" s="16" t="n">
        <v>200</v>
      </c>
      <c r="I10" s="16" t="n">
        <v>35000</v>
      </c>
      <c r="J10" s="9" t="n">
        <f aca="false">IF($H10="","",$H10*$I10)</f>
        <v>7000000</v>
      </c>
      <c r="K10" s="17" t="s">
        <v>53</v>
      </c>
      <c r="L10" s="16" t="s">
        <v>54</v>
      </c>
      <c r="M10" s="16" t="s">
        <v>70</v>
      </c>
      <c r="N10" s="16" t="s">
        <v>71</v>
      </c>
      <c r="P10" s="18" t="n">
        <v>46176</v>
      </c>
      <c r="Q10" s="19" t="n">
        <f aca="false">SUMIF($B$8:$B$407,$P10,$J$8:$J$407)</f>
        <v>8500000</v>
      </c>
    </row>
    <row r="11" customFormat="false" ht="15" hidden="false" customHeight="false" outlineLevel="0" collapsed="false">
      <c r="A11" s="4" t="str">
        <f aca="false">IF($B11="","",ROW()-7)</f>
        <v/>
      </c>
      <c r="J11" s="9" t="str">
        <f aca="false">IF($H11="","",$H11*$I11)</f>
        <v/>
      </c>
      <c r="P11" s="18" t="n">
        <v>46177</v>
      </c>
      <c r="Q11" s="19" t="n">
        <f aca="false">SUMIF($B$8:$B$407,$P11,$J$8:$J$407)</f>
        <v>0</v>
      </c>
    </row>
    <row r="12" customFormat="false" ht="15" hidden="false" customHeight="false" outlineLevel="0" collapsed="false">
      <c r="A12" s="4" t="str">
        <f aca="false">IF($B12="","",ROW()-7)</f>
        <v/>
      </c>
      <c r="J12" s="9" t="str">
        <f aca="false">IF($H12="","",$H12*$I12)</f>
        <v/>
      </c>
      <c r="P12" s="18" t="n">
        <v>46178</v>
      </c>
      <c r="Q12" s="19" t="n">
        <f aca="false">SUMIF($B$8:$B$407,$P12,$J$8:$J$407)</f>
        <v>0</v>
      </c>
    </row>
    <row r="13" customFormat="false" ht="15" hidden="false" customHeight="false" outlineLevel="0" collapsed="false">
      <c r="A13" s="4" t="str">
        <f aca="false">IF($B13="","",ROW()-7)</f>
        <v/>
      </c>
      <c r="J13" s="9" t="str">
        <f aca="false">IF($H13="","",$H13*$I13)</f>
        <v/>
      </c>
      <c r="P13" s="18" t="n">
        <v>46179</v>
      </c>
      <c r="Q13" s="19" t="n">
        <f aca="false">SUMIF($B$8:$B$407,$P13,$J$8:$J$407)</f>
        <v>0</v>
      </c>
    </row>
    <row r="14" customFormat="false" ht="15" hidden="false" customHeight="false" outlineLevel="0" collapsed="false">
      <c r="A14" s="4" t="str">
        <f aca="false">IF($B14="","",ROW()-7)</f>
        <v/>
      </c>
      <c r="J14" s="9" t="str">
        <f aca="false">IF($H14="","",$H14*$I14)</f>
        <v/>
      </c>
      <c r="P14" s="18" t="n">
        <v>46180</v>
      </c>
      <c r="Q14" s="19" t="n">
        <f aca="false">SUMIF($B$8:$B$407,$P14,$J$8:$J$407)</f>
        <v>0</v>
      </c>
    </row>
    <row r="15" customFormat="false" ht="15" hidden="false" customHeight="false" outlineLevel="0" collapsed="false">
      <c r="A15" s="4" t="str">
        <f aca="false">IF($B15="","",ROW()-7)</f>
        <v/>
      </c>
      <c r="J15" s="9" t="str">
        <f aca="false">IF($H15="","",$H15*$I15)</f>
        <v/>
      </c>
      <c r="P15" s="18" t="n">
        <v>46181</v>
      </c>
      <c r="Q15" s="19" t="n">
        <f aca="false">SUMIF($B$8:$B$407,$P15,$J$8:$J$407)</f>
        <v>0</v>
      </c>
    </row>
    <row r="16" customFormat="false" ht="15" hidden="false" customHeight="false" outlineLevel="0" collapsed="false">
      <c r="A16" s="4" t="str">
        <f aca="false">IF($B16="","",ROW()-7)</f>
        <v/>
      </c>
      <c r="J16" s="9" t="str">
        <f aca="false">IF($H16="","",$H16*$I16)</f>
        <v/>
      </c>
      <c r="P16" s="18" t="n">
        <v>46182</v>
      </c>
      <c r="Q16" s="19" t="n">
        <f aca="false">SUMIF($B$8:$B$407,$P16,$J$8:$J$407)</f>
        <v>0</v>
      </c>
    </row>
    <row r="17" customFormat="false" ht="15" hidden="false" customHeight="false" outlineLevel="0" collapsed="false">
      <c r="A17" s="4" t="str">
        <f aca="false">IF($B17="","",ROW()-7)</f>
        <v/>
      </c>
      <c r="J17" s="9" t="str">
        <f aca="false">IF($H17="","",$H17*$I17)</f>
        <v/>
      </c>
      <c r="P17" s="18" t="n">
        <v>46183</v>
      </c>
      <c r="Q17" s="19" t="n">
        <f aca="false">SUMIF($B$8:$B$407,$P17,$J$8:$J$407)</f>
        <v>6000000</v>
      </c>
    </row>
    <row r="18" customFormat="false" ht="15" hidden="false" customHeight="false" outlineLevel="0" collapsed="false">
      <c r="A18" s="4" t="str">
        <f aca="false">IF($B18="","",ROW()-7)</f>
        <v/>
      </c>
      <c r="J18" s="9" t="str">
        <f aca="false">IF($H18="","",$H18*$I18)</f>
        <v/>
      </c>
      <c r="P18" s="18" t="n">
        <v>46184</v>
      </c>
      <c r="Q18" s="19" t="n">
        <f aca="false">SUMIF($B$8:$B$407,$P18,$J$8:$J$407)</f>
        <v>0</v>
      </c>
    </row>
    <row r="19" customFormat="false" ht="15" hidden="false" customHeight="false" outlineLevel="0" collapsed="false">
      <c r="A19" s="4" t="str">
        <f aca="false">IF($B19="","",ROW()-7)</f>
        <v/>
      </c>
      <c r="J19" s="9" t="str">
        <f aca="false">IF($H19="","",$H19*$I19)</f>
        <v/>
      </c>
      <c r="P19" s="18" t="n">
        <v>46185</v>
      </c>
      <c r="Q19" s="19" t="n">
        <f aca="false">SUMIF($B$8:$B$407,$P19,$J$8:$J$407)</f>
        <v>0</v>
      </c>
    </row>
    <row r="20" customFormat="false" ht="15" hidden="false" customHeight="false" outlineLevel="0" collapsed="false">
      <c r="A20" s="4" t="str">
        <f aca="false">IF($B20="","",ROW()-7)</f>
        <v/>
      </c>
      <c r="J20" s="9" t="str">
        <f aca="false">IF($H20="","",$H20*$I20)</f>
        <v/>
      </c>
      <c r="P20" s="18" t="n">
        <v>46186</v>
      </c>
      <c r="Q20" s="19" t="n">
        <f aca="false">SUMIF($B$8:$B$407,$P20,$J$8:$J$407)</f>
        <v>0</v>
      </c>
    </row>
    <row r="21" customFormat="false" ht="15" hidden="false" customHeight="false" outlineLevel="0" collapsed="false">
      <c r="A21" s="4" t="str">
        <f aca="false">IF($B21="","",ROW()-7)</f>
        <v/>
      </c>
      <c r="J21" s="9" t="str">
        <f aca="false">IF($H21="","",$H21*$I21)</f>
        <v/>
      </c>
      <c r="P21" s="18" t="n">
        <v>46187</v>
      </c>
      <c r="Q21" s="19" t="n">
        <f aca="false">SUMIF($B$8:$B$407,$P21,$J$8:$J$407)</f>
        <v>0</v>
      </c>
    </row>
    <row r="22" customFormat="false" ht="15" hidden="false" customHeight="false" outlineLevel="0" collapsed="false">
      <c r="A22" s="4" t="str">
        <f aca="false">IF($B22="","",ROW()-7)</f>
        <v/>
      </c>
      <c r="J22" s="9" t="str">
        <f aca="false">IF($H22="","",$H22*$I22)</f>
        <v/>
      </c>
      <c r="P22" s="18" t="n">
        <v>46188</v>
      </c>
      <c r="Q22" s="19" t="n">
        <f aca="false">SUMIF($B$8:$B$407,$P22,$J$8:$J$407)</f>
        <v>7000000</v>
      </c>
    </row>
    <row r="23" customFormat="false" ht="15" hidden="false" customHeight="false" outlineLevel="0" collapsed="false">
      <c r="A23" s="4" t="str">
        <f aca="false">IF($B23="","",ROW()-7)</f>
        <v/>
      </c>
      <c r="J23" s="9" t="str">
        <f aca="false">IF($H23="","",$H23*$I23)</f>
        <v/>
      </c>
      <c r="P23" s="18" t="n">
        <v>46189</v>
      </c>
      <c r="Q23" s="19" t="n">
        <f aca="false">SUMIF($B$8:$B$407,$P23,$J$8:$J$407)</f>
        <v>0</v>
      </c>
    </row>
    <row r="24" customFormat="false" ht="15" hidden="false" customHeight="false" outlineLevel="0" collapsed="false">
      <c r="A24" s="4" t="str">
        <f aca="false">IF($B24="","",ROW()-7)</f>
        <v/>
      </c>
      <c r="J24" s="9" t="str">
        <f aca="false">IF($H24="","",$H24*$I24)</f>
        <v/>
      </c>
      <c r="P24" s="18" t="n">
        <v>46190</v>
      </c>
      <c r="Q24" s="19" t="n">
        <f aca="false">SUMIF($B$8:$B$407,$P24,$J$8:$J$407)</f>
        <v>0</v>
      </c>
    </row>
    <row r="25" customFormat="false" ht="15" hidden="false" customHeight="false" outlineLevel="0" collapsed="false">
      <c r="A25" s="4" t="str">
        <f aca="false">IF($B25="","",ROW()-7)</f>
        <v/>
      </c>
      <c r="J25" s="9" t="str">
        <f aca="false">IF($H25="","",$H25*$I25)</f>
        <v/>
      </c>
      <c r="P25" s="18" t="n">
        <v>46191</v>
      </c>
      <c r="Q25" s="19" t="n">
        <f aca="false">SUMIF($B$8:$B$407,$P25,$J$8:$J$407)</f>
        <v>0</v>
      </c>
    </row>
    <row r="26" customFormat="false" ht="15" hidden="false" customHeight="false" outlineLevel="0" collapsed="false">
      <c r="A26" s="4" t="str">
        <f aca="false">IF($B26="","",ROW()-7)</f>
        <v/>
      </c>
      <c r="J26" s="9" t="str">
        <f aca="false">IF($H26="","",$H26*$I26)</f>
        <v/>
      </c>
      <c r="P26" s="18" t="n">
        <v>46192</v>
      </c>
      <c r="Q26" s="19" t="n">
        <f aca="false">SUMIF($B$8:$B$407,$P26,$J$8:$J$407)</f>
        <v>0</v>
      </c>
    </row>
    <row r="27" customFormat="false" ht="15" hidden="false" customHeight="false" outlineLevel="0" collapsed="false">
      <c r="A27" s="4" t="str">
        <f aca="false">IF($B27="","",ROW()-7)</f>
        <v/>
      </c>
      <c r="J27" s="9" t="str">
        <f aca="false">IF($H27="","",$H27*$I27)</f>
        <v/>
      </c>
      <c r="P27" s="18" t="n">
        <v>46193</v>
      </c>
      <c r="Q27" s="19" t="n">
        <f aca="false">SUMIF($B$8:$B$407,$P27,$J$8:$J$407)</f>
        <v>0</v>
      </c>
    </row>
    <row r="28" customFormat="false" ht="15" hidden="false" customHeight="false" outlineLevel="0" collapsed="false">
      <c r="A28" s="4" t="str">
        <f aca="false">IF($B28="","",ROW()-7)</f>
        <v/>
      </c>
      <c r="J28" s="9" t="str">
        <f aca="false">IF($H28="","",$H28*$I28)</f>
        <v/>
      </c>
      <c r="P28" s="18" t="n">
        <v>46194</v>
      </c>
      <c r="Q28" s="19" t="n">
        <f aca="false">SUMIF($B$8:$B$407,$P28,$J$8:$J$407)</f>
        <v>0</v>
      </c>
    </row>
    <row r="29" customFormat="false" ht="15" hidden="false" customHeight="false" outlineLevel="0" collapsed="false">
      <c r="A29" s="4" t="str">
        <f aca="false">IF($B29="","",ROW()-7)</f>
        <v/>
      </c>
      <c r="J29" s="9" t="str">
        <f aca="false">IF($H29="","",$H29*$I29)</f>
        <v/>
      </c>
      <c r="P29" s="18" t="n">
        <v>46195</v>
      </c>
      <c r="Q29" s="19" t="n">
        <f aca="false">SUMIF($B$8:$B$407,$P29,$J$8:$J$407)</f>
        <v>0</v>
      </c>
    </row>
    <row r="30" customFormat="false" ht="15" hidden="false" customHeight="false" outlineLevel="0" collapsed="false">
      <c r="A30" s="4" t="str">
        <f aca="false">IF($B30="","",ROW()-7)</f>
        <v/>
      </c>
      <c r="J30" s="9" t="str">
        <f aca="false">IF($H30="","",$H30*$I30)</f>
        <v/>
      </c>
      <c r="P30" s="18" t="n">
        <v>46196</v>
      </c>
      <c r="Q30" s="19" t="n">
        <f aca="false">SUMIF($B$8:$B$407,$P30,$J$8:$J$407)</f>
        <v>0</v>
      </c>
    </row>
    <row r="31" customFormat="false" ht="15" hidden="false" customHeight="false" outlineLevel="0" collapsed="false">
      <c r="A31" s="4" t="str">
        <f aca="false">IF($B31="","",ROW()-7)</f>
        <v/>
      </c>
      <c r="J31" s="9" t="str">
        <f aca="false">IF($H31="","",$H31*$I31)</f>
        <v/>
      </c>
      <c r="P31" s="18" t="n">
        <v>46197</v>
      </c>
      <c r="Q31" s="19" t="n">
        <f aca="false">SUMIF($B$8:$B$407,$P31,$J$8:$J$407)</f>
        <v>0</v>
      </c>
    </row>
    <row r="32" customFormat="false" ht="15" hidden="false" customHeight="false" outlineLevel="0" collapsed="false">
      <c r="A32" s="4" t="str">
        <f aca="false">IF($B32="","",ROW()-7)</f>
        <v/>
      </c>
      <c r="J32" s="9" t="str">
        <f aca="false">IF($H32="","",$H32*$I32)</f>
        <v/>
      </c>
      <c r="P32" s="18" t="n">
        <v>46198</v>
      </c>
      <c r="Q32" s="19" t="n">
        <f aca="false">SUMIF($B$8:$B$407,$P32,$J$8:$J$407)</f>
        <v>0</v>
      </c>
    </row>
    <row r="33" customFormat="false" ht="15" hidden="false" customHeight="false" outlineLevel="0" collapsed="false">
      <c r="A33" s="4" t="str">
        <f aca="false">IF($B33="","",ROW()-7)</f>
        <v/>
      </c>
      <c r="J33" s="9" t="str">
        <f aca="false">IF($H33="","",$H33*$I33)</f>
        <v/>
      </c>
      <c r="P33" s="18" t="n">
        <v>46199</v>
      </c>
      <c r="Q33" s="19" t="n">
        <f aca="false">SUMIF($B$8:$B$407,$P33,$J$8:$J$407)</f>
        <v>0</v>
      </c>
    </row>
    <row r="34" customFormat="false" ht="15" hidden="false" customHeight="false" outlineLevel="0" collapsed="false">
      <c r="A34" s="4" t="str">
        <f aca="false">IF($B34="","",ROW()-7)</f>
        <v/>
      </c>
      <c r="J34" s="9" t="str">
        <f aca="false">IF($H34="","",$H34*$I34)</f>
        <v/>
      </c>
      <c r="P34" s="18" t="n">
        <v>46200</v>
      </c>
      <c r="Q34" s="19" t="n">
        <f aca="false">SUMIF($B$8:$B$407,$P34,$J$8:$J$407)</f>
        <v>0</v>
      </c>
    </row>
    <row r="35" customFormat="false" ht="15" hidden="false" customHeight="false" outlineLevel="0" collapsed="false">
      <c r="A35" s="4" t="str">
        <f aca="false">IF($B35="","",ROW()-7)</f>
        <v/>
      </c>
      <c r="J35" s="9" t="str">
        <f aca="false">IF($H35="","",$H35*$I35)</f>
        <v/>
      </c>
      <c r="P35" s="18" t="n">
        <v>46201</v>
      </c>
      <c r="Q35" s="19" t="n">
        <f aca="false">SUMIF($B$8:$B$407,$P35,$J$8:$J$407)</f>
        <v>0</v>
      </c>
    </row>
    <row r="36" customFormat="false" ht="15" hidden="false" customHeight="false" outlineLevel="0" collapsed="false">
      <c r="A36" s="4" t="str">
        <f aca="false">IF($B36="","",ROW()-7)</f>
        <v/>
      </c>
      <c r="J36" s="9" t="str">
        <f aca="false">IF($H36="","",$H36*$I36)</f>
        <v/>
      </c>
      <c r="P36" s="18" t="n">
        <v>46202</v>
      </c>
      <c r="Q36" s="19" t="n">
        <f aca="false">SUMIF($B$8:$B$407,$P36,$J$8:$J$407)</f>
        <v>0</v>
      </c>
    </row>
    <row r="37" customFormat="false" ht="15" hidden="false" customHeight="false" outlineLevel="0" collapsed="false">
      <c r="A37" s="4" t="str">
        <f aca="false">IF($B37="","",ROW()-7)</f>
        <v/>
      </c>
      <c r="J37" s="9" t="str">
        <f aca="false">IF($H37="","",$H37*$I37)</f>
        <v/>
      </c>
      <c r="P37" s="18" t="n">
        <v>46203</v>
      </c>
      <c r="Q37" s="19" t="n">
        <f aca="false">SUMIF($B$8:$B$407,$P37,$J$8:$J$407)</f>
        <v>0</v>
      </c>
    </row>
    <row r="38" customFormat="false" ht="15" hidden="false" customHeight="false" outlineLevel="0" collapsed="false">
      <c r="A38" s="4" t="str">
        <f aca="false">IF($B38="","",ROW()-7)</f>
        <v/>
      </c>
      <c r="J38" s="9" t="str">
        <f aca="false">IF($H38="","",$H38*$I38)</f>
        <v/>
      </c>
      <c r="P38" s="20" t="s">
        <v>72</v>
      </c>
      <c r="Q38" s="21" t="n">
        <f aca="false">SUM($Q$8:$Q$37)</f>
        <v>21500000</v>
      </c>
    </row>
    <row r="39" customFormat="false" ht="15" hidden="false" customHeight="false" outlineLevel="0" collapsed="false">
      <c r="A39" s="4" t="str">
        <f aca="false">IF($B39="","",ROW()-7)</f>
        <v/>
      </c>
      <c r="J39" s="9" t="str">
        <f aca="false">IF($H39="","",$H39*$I39)</f>
        <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73</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97000000</v>
      </c>
    </row>
    <row r="4" customFormat="false" ht="15" hidden="false" customHeight="true" outlineLevel="0" collapsed="false">
      <c r="B4" s="11" t="s">
        <v>29</v>
      </c>
      <c r="C4" s="11"/>
      <c r="D4" s="12" t="n">
        <f aca="false">SUMIF($L$8:$L$407,"Đã chuyển khoản",$J$8:$J$407)</f>
        <v>50000000</v>
      </c>
    </row>
    <row r="5" customFormat="false" ht="15" hidden="false" customHeight="true" outlineLevel="0" collapsed="false">
      <c r="B5" s="11" t="s">
        <v>30</v>
      </c>
      <c r="C5" s="11"/>
      <c r="D5" s="12" t="n">
        <f aca="false">SUMIF($L$8:$L$407,"Chưa chuyển khoản",$J$8:$J$407)</f>
        <v>47000000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n">
        <f aca="false">IF($B8="","",ROW()-7)</f>
        <v>1</v>
      </c>
      <c r="B8" s="15" t="n">
        <v>46224</v>
      </c>
      <c r="C8" s="16" t="s">
        <v>74</v>
      </c>
      <c r="D8" s="16" t="s">
        <v>75</v>
      </c>
      <c r="E8" s="16" t="s">
        <v>76</v>
      </c>
      <c r="F8" s="16" t="s">
        <v>77</v>
      </c>
      <c r="G8" s="16" t="s">
        <v>78</v>
      </c>
      <c r="H8" s="16" t="n">
        <v>1000</v>
      </c>
      <c r="I8" s="16" t="n">
        <v>50000</v>
      </c>
      <c r="J8" s="9" t="n">
        <f aca="false">IF($H8="","",$H8*$I8)</f>
        <v>50000000</v>
      </c>
      <c r="L8" s="16" t="s">
        <v>54</v>
      </c>
      <c r="N8" s="16" t="s">
        <v>79</v>
      </c>
      <c r="P8" s="18" t="n">
        <v>46204</v>
      </c>
      <c r="Q8" s="19" t="n">
        <f aca="false">SUMIF($B$8:$B$407,$P8,$J$8:$J$407)</f>
        <v>0</v>
      </c>
    </row>
    <row r="9" customFormat="false" ht="15" hidden="false" customHeight="false" outlineLevel="0" collapsed="false">
      <c r="A9" s="4" t="n">
        <f aca="false">IF($B9="","",ROW()-7)</f>
        <v>2</v>
      </c>
      <c r="B9" s="15" t="n">
        <v>46224</v>
      </c>
      <c r="C9" s="16" t="s">
        <v>80</v>
      </c>
      <c r="D9" s="16" t="s">
        <v>81</v>
      </c>
      <c r="F9" s="16" t="s">
        <v>77</v>
      </c>
      <c r="G9" s="16" t="s">
        <v>82</v>
      </c>
      <c r="H9" s="16" t="n">
        <v>1000</v>
      </c>
      <c r="I9" s="16" t="n">
        <v>47000</v>
      </c>
      <c r="J9" s="9" t="n">
        <f aca="false">IF($H9="","",$H9*$I9)</f>
        <v>47000000</v>
      </c>
      <c r="L9" s="16" t="s">
        <v>62</v>
      </c>
      <c r="P9" s="18" t="n">
        <v>46205</v>
      </c>
      <c r="Q9" s="19" t="n">
        <f aca="false">SUMIF($B$8:$B$407,$P9,$J$8:$J$407)</f>
        <v>0</v>
      </c>
    </row>
    <row r="10" customFormat="false" ht="15" hidden="false" customHeight="false" outlineLevel="0" collapsed="false">
      <c r="A10" s="4" t="str">
        <f aca="false">IF($B10="","",ROW()-7)</f>
        <v/>
      </c>
      <c r="J10" s="9" t="str">
        <f aca="false">IF($H10="","",$H10*$I10)</f>
        <v/>
      </c>
      <c r="P10" s="18" t="n">
        <v>46206</v>
      </c>
      <c r="Q10" s="19" t="n">
        <f aca="false">SUMIF($B$8:$B$407,$P10,$J$8:$J$407)</f>
        <v>0</v>
      </c>
    </row>
    <row r="11" customFormat="false" ht="15" hidden="false" customHeight="false" outlineLevel="0" collapsed="false">
      <c r="A11" s="4" t="str">
        <f aca="false">IF($B11="","",ROW()-7)</f>
        <v/>
      </c>
      <c r="J11" s="9" t="str">
        <f aca="false">IF($H11="","",$H11*$I11)</f>
        <v/>
      </c>
      <c r="P11" s="18" t="n">
        <v>46207</v>
      </c>
      <c r="Q11" s="19" t="n">
        <f aca="false">SUMIF($B$8:$B$407,$P11,$J$8:$J$407)</f>
        <v>0</v>
      </c>
    </row>
    <row r="12" customFormat="false" ht="15" hidden="false" customHeight="false" outlineLevel="0" collapsed="false">
      <c r="A12" s="4" t="str">
        <f aca="false">IF($B12="","",ROW()-7)</f>
        <v/>
      </c>
      <c r="J12" s="9" t="str">
        <f aca="false">IF($H12="","",$H12*$I12)</f>
        <v/>
      </c>
      <c r="P12" s="18" t="n">
        <v>46208</v>
      </c>
      <c r="Q12" s="19" t="n">
        <f aca="false">SUMIF($B$8:$B$407,$P12,$J$8:$J$407)</f>
        <v>0</v>
      </c>
    </row>
    <row r="13" customFormat="false" ht="15" hidden="false" customHeight="false" outlineLevel="0" collapsed="false">
      <c r="A13" s="4" t="str">
        <f aca="false">IF($B13="","",ROW()-7)</f>
        <v/>
      </c>
      <c r="J13" s="9" t="str">
        <f aca="false">IF($H13="","",$H13*$I13)</f>
        <v/>
      </c>
      <c r="P13" s="18" t="n">
        <v>46209</v>
      </c>
      <c r="Q13" s="19" t="n">
        <f aca="false">SUMIF($B$8:$B$407,$P13,$J$8:$J$407)</f>
        <v>0</v>
      </c>
    </row>
    <row r="14" customFormat="false" ht="15" hidden="false" customHeight="false" outlineLevel="0" collapsed="false">
      <c r="A14" s="4" t="str">
        <f aca="false">IF($B14="","",ROW()-7)</f>
        <v/>
      </c>
      <c r="J14" s="9" t="str">
        <f aca="false">IF($H14="","",$H14*$I14)</f>
        <v/>
      </c>
      <c r="P14" s="18" t="n">
        <v>46210</v>
      </c>
      <c r="Q14" s="19" t="n">
        <f aca="false">SUMIF($B$8:$B$407,$P14,$J$8:$J$407)</f>
        <v>0</v>
      </c>
    </row>
    <row r="15" customFormat="false" ht="15" hidden="false" customHeight="false" outlineLevel="0" collapsed="false">
      <c r="A15" s="4" t="str">
        <f aca="false">IF($B15="","",ROW()-7)</f>
        <v/>
      </c>
      <c r="J15" s="9" t="str">
        <f aca="false">IF($H15="","",$H15*$I15)</f>
        <v/>
      </c>
      <c r="P15" s="18" t="n">
        <v>46211</v>
      </c>
      <c r="Q15" s="19" t="n">
        <f aca="false">SUMIF($B$8:$B$407,$P15,$J$8:$J$407)</f>
        <v>0</v>
      </c>
    </row>
    <row r="16" customFormat="false" ht="15" hidden="false" customHeight="false" outlineLevel="0" collapsed="false">
      <c r="A16" s="4" t="str">
        <f aca="false">IF($B16="","",ROW()-7)</f>
        <v/>
      </c>
      <c r="J16" s="9" t="str">
        <f aca="false">IF($H16="","",$H16*$I16)</f>
        <v/>
      </c>
      <c r="P16" s="18" t="n">
        <v>46212</v>
      </c>
      <c r="Q16" s="19" t="n">
        <f aca="false">SUMIF($B$8:$B$407,$P16,$J$8:$J$407)</f>
        <v>0</v>
      </c>
    </row>
    <row r="17" customFormat="false" ht="15" hidden="false" customHeight="false" outlineLevel="0" collapsed="false">
      <c r="A17" s="4" t="str">
        <f aca="false">IF($B17="","",ROW()-7)</f>
        <v/>
      </c>
      <c r="J17" s="9" t="str">
        <f aca="false">IF($H17="","",$H17*$I17)</f>
        <v/>
      </c>
      <c r="P17" s="18" t="n">
        <v>46213</v>
      </c>
      <c r="Q17" s="19" t="n">
        <f aca="false">SUMIF($B$8:$B$407,$P17,$J$8:$J$407)</f>
        <v>0</v>
      </c>
    </row>
    <row r="18" customFormat="false" ht="15" hidden="false" customHeight="false" outlineLevel="0" collapsed="false">
      <c r="A18" s="4" t="str">
        <f aca="false">IF($B18="","",ROW()-7)</f>
        <v/>
      </c>
      <c r="J18" s="9" t="str">
        <f aca="false">IF($H18="","",$H18*$I18)</f>
        <v/>
      </c>
      <c r="P18" s="18" t="n">
        <v>46214</v>
      </c>
      <c r="Q18" s="19" t="n">
        <f aca="false">SUMIF($B$8:$B$407,$P18,$J$8:$J$407)</f>
        <v>0</v>
      </c>
    </row>
    <row r="19" customFormat="false" ht="15" hidden="false" customHeight="false" outlineLevel="0" collapsed="false">
      <c r="A19" s="4" t="str">
        <f aca="false">IF($B19="","",ROW()-7)</f>
        <v/>
      </c>
      <c r="J19" s="9" t="str">
        <f aca="false">IF($H19="","",$H19*$I19)</f>
        <v/>
      </c>
      <c r="P19" s="18" t="n">
        <v>46215</v>
      </c>
      <c r="Q19" s="19" t="n">
        <f aca="false">SUMIF($B$8:$B$407,$P19,$J$8:$J$407)</f>
        <v>0</v>
      </c>
    </row>
    <row r="20" customFormat="false" ht="15" hidden="false" customHeight="false" outlineLevel="0" collapsed="false">
      <c r="A20" s="4" t="str">
        <f aca="false">IF($B20="","",ROW()-7)</f>
        <v/>
      </c>
      <c r="J20" s="9" t="str">
        <f aca="false">IF($H20="","",$H20*$I20)</f>
        <v/>
      </c>
      <c r="P20" s="18" t="n">
        <v>46216</v>
      </c>
      <c r="Q20" s="19" t="n">
        <f aca="false">SUMIF($B$8:$B$407,$P20,$J$8:$J$407)</f>
        <v>0</v>
      </c>
    </row>
    <row r="21" customFormat="false" ht="15" hidden="false" customHeight="false" outlineLevel="0" collapsed="false">
      <c r="A21" s="4" t="str">
        <f aca="false">IF($B21="","",ROW()-7)</f>
        <v/>
      </c>
      <c r="J21" s="9" t="str">
        <f aca="false">IF($H21="","",$H21*$I21)</f>
        <v/>
      </c>
      <c r="P21" s="18" t="n">
        <v>46217</v>
      </c>
      <c r="Q21" s="19" t="n">
        <f aca="false">SUMIF($B$8:$B$407,$P21,$J$8:$J$407)</f>
        <v>0</v>
      </c>
    </row>
    <row r="22" customFormat="false" ht="15" hidden="false" customHeight="false" outlineLevel="0" collapsed="false">
      <c r="A22" s="4" t="str">
        <f aca="false">IF($B22="","",ROW()-7)</f>
        <v/>
      </c>
      <c r="J22" s="9" t="str">
        <f aca="false">IF($H22="","",$H22*$I22)</f>
        <v/>
      </c>
      <c r="P22" s="18" t="n">
        <v>46218</v>
      </c>
      <c r="Q22" s="19" t="n">
        <f aca="false">SUMIF($B$8:$B$407,$P22,$J$8:$J$407)</f>
        <v>0</v>
      </c>
    </row>
    <row r="23" customFormat="false" ht="15" hidden="false" customHeight="false" outlineLevel="0" collapsed="false">
      <c r="A23" s="4" t="str">
        <f aca="false">IF($B23="","",ROW()-7)</f>
        <v/>
      </c>
      <c r="J23" s="9" t="str">
        <f aca="false">IF($H23="","",$H23*$I23)</f>
        <v/>
      </c>
      <c r="P23" s="18" t="n">
        <v>46219</v>
      </c>
      <c r="Q23" s="19" t="n">
        <f aca="false">SUMIF($B$8:$B$407,$P23,$J$8:$J$407)</f>
        <v>0</v>
      </c>
    </row>
    <row r="24" customFormat="false" ht="15" hidden="false" customHeight="false" outlineLevel="0" collapsed="false">
      <c r="A24" s="4" t="str">
        <f aca="false">IF($B24="","",ROW()-7)</f>
        <v/>
      </c>
      <c r="J24" s="9" t="str">
        <f aca="false">IF($H24="","",$H24*$I24)</f>
        <v/>
      </c>
      <c r="P24" s="18" t="n">
        <v>46220</v>
      </c>
      <c r="Q24" s="19" t="n">
        <f aca="false">SUMIF($B$8:$B$407,$P24,$J$8:$J$407)</f>
        <v>0</v>
      </c>
    </row>
    <row r="25" customFormat="false" ht="15" hidden="false" customHeight="false" outlineLevel="0" collapsed="false">
      <c r="A25" s="4" t="str">
        <f aca="false">IF($B25="","",ROW()-7)</f>
        <v/>
      </c>
      <c r="J25" s="9" t="str">
        <f aca="false">IF($H25="","",$H25*$I25)</f>
        <v/>
      </c>
      <c r="P25" s="18" t="n">
        <v>46221</v>
      </c>
      <c r="Q25" s="19" t="n">
        <f aca="false">SUMIF($B$8:$B$407,$P25,$J$8:$J$407)</f>
        <v>0</v>
      </c>
    </row>
    <row r="26" customFormat="false" ht="15" hidden="false" customHeight="false" outlineLevel="0" collapsed="false">
      <c r="A26" s="4" t="str">
        <f aca="false">IF($B26="","",ROW()-7)</f>
        <v/>
      </c>
      <c r="J26" s="9" t="str">
        <f aca="false">IF($H26="","",$H26*$I26)</f>
        <v/>
      </c>
      <c r="P26" s="18" t="n">
        <v>46222</v>
      </c>
      <c r="Q26" s="19" t="n">
        <f aca="false">SUMIF($B$8:$B$407,$P26,$J$8:$J$407)</f>
        <v>0</v>
      </c>
    </row>
    <row r="27" customFormat="false" ht="15" hidden="false" customHeight="false" outlineLevel="0" collapsed="false">
      <c r="A27" s="4" t="str">
        <f aca="false">IF($B27="","",ROW()-7)</f>
        <v/>
      </c>
      <c r="J27" s="9" t="str">
        <f aca="false">IF($H27="","",$H27*$I27)</f>
        <v/>
      </c>
      <c r="P27" s="18" t="n">
        <v>46223</v>
      </c>
      <c r="Q27" s="19" t="n">
        <f aca="false">SUMIF($B$8:$B$407,$P27,$J$8:$J$407)</f>
        <v>0</v>
      </c>
    </row>
    <row r="28" customFormat="false" ht="15" hidden="false" customHeight="false" outlineLevel="0" collapsed="false">
      <c r="A28" s="4" t="str">
        <f aca="false">IF($B28="","",ROW()-7)</f>
        <v/>
      </c>
      <c r="J28" s="9" t="str">
        <f aca="false">IF($H28="","",$H28*$I28)</f>
        <v/>
      </c>
      <c r="P28" s="18" t="n">
        <v>46224</v>
      </c>
      <c r="Q28" s="19" t="n">
        <f aca="false">SUMIF($B$8:$B$407,$P28,$J$8:$J$407)</f>
        <v>97000000</v>
      </c>
    </row>
    <row r="29" customFormat="false" ht="15" hidden="false" customHeight="false" outlineLevel="0" collapsed="false">
      <c r="A29" s="4" t="str">
        <f aca="false">IF($B29="","",ROW()-7)</f>
        <v/>
      </c>
      <c r="J29" s="9" t="str">
        <f aca="false">IF($H29="","",$H29*$I29)</f>
        <v/>
      </c>
      <c r="P29" s="18" t="n">
        <v>46225</v>
      </c>
      <c r="Q29" s="19" t="n">
        <f aca="false">SUMIF($B$8:$B$407,$P29,$J$8:$J$407)</f>
        <v>0</v>
      </c>
    </row>
    <row r="30" customFormat="false" ht="15" hidden="false" customHeight="false" outlineLevel="0" collapsed="false">
      <c r="A30" s="4" t="str">
        <f aca="false">IF($B30="","",ROW()-7)</f>
        <v/>
      </c>
      <c r="J30" s="9" t="str">
        <f aca="false">IF($H30="","",$H30*$I30)</f>
        <v/>
      </c>
      <c r="P30" s="18" t="n">
        <v>46226</v>
      </c>
      <c r="Q30" s="19" t="n">
        <f aca="false">SUMIF($B$8:$B$407,$P30,$J$8:$J$407)</f>
        <v>0</v>
      </c>
    </row>
    <row r="31" customFormat="false" ht="15" hidden="false" customHeight="false" outlineLevel="0" collapsed="false">
      <c r="A31" s="4" t="str">
        <f aca="false">IF($B31="","",ROW()-7)</f>
        <v/>
      </c>
      <c r="J31" s="9" t="str">
        <f aca="false">IF($H31="","",$H31*$I31)</f>
        <v/>
      </c>
      <c r="P31" s="18" t="n">
        <v>46227</v>
      </c>
      <c r="Q31" s="19" t="n">
        <f aca="false">SUMIF($B$8:$B$407,$P31,$J$8:$J$407)</f>
        <v>0</v>
      </c>
    </row>
    <row r="32" customFormat="false" ht="15" hidden="false" customHeight="false" outlineLevel="0" collapsed="false">
      <c r="A32" s="4" t="str">
        <f aca="false">IF($B32="","",ROW()-7)</f>
        <v/>
      </c>
      <c r="J32" s="9" t="str">
        <f aca="false">IF($H32="","",$H32*$I32)</f>
        <v/>
      </c>
      <c r="P32" s="18" t="n">
        <v>46228</v>
      </c>
      <c r="Q32" s="19" t="n">
        <f aca="false">SUMIF($B$8:$B$407,$P32,$J$8:$J$407)</f>
        <v>0</v>
      </c>
    </row>
    <row r="33" customFormat="false" ht="15" hidden="false" customHeight="false" outlineLevel="0" collapsed="false">
      <c r="A33" s="4" t="str">
        <f aca="false">IF($B33="","",ROW()-7)</f>
        <v/>
      </c>
      <c r="J33" s="9" t="str">
        <f aca="false">IF($H33="","",$H33*$I33)</f>
        <v/>
      </c>
      <c r="P33" s="18" t="n">
        <v>46229</v>
      </c>
      <c r="Q33" s="19" t="n">
        <f aca="false">SUMIF($B$8:$B$407,$P33,$J$8:$J$407)</f>
        <v>0</v>
      </c>
    </row>
    <row r="34" customFormat="false" ht="15" hidden="false" customHeight="false" outlineLevel="0" collapsed="false">
      <c r="A34" s="4" t="str">
        <f aca="false">IF($B34="","",ROW()-7)</f>
        <v/>
      </c>
      <c r="J34" s="9" t="str">
        <f aca="false">IF($H34="","",$H34*$I34)</f>
        <v/>
      </c>
      <c r="P34" s="18" t="n">
        <v>46230</v>
      </c>
      <c r="Q34" s="19" t="n">
        <f aca="false">SUMIF($B$8:$B$407,$P34,$J$8:$J$407)</f>
        <v>0</v>
      </c>
    </row>
    <row r="35" customFormat="false" ht="15" hidden="false" customHeight="false" outlineLevel="0" collapsed="false">
      <c r="A35" s="4" t="str">
        <f aca="false">IF($B35="","",ROW()-7)</f>
        <v/>
      </c>
      <c r="J35" s="9" t="str">
        <f aca="false">IF($H35="","",$H35*$I35)</f>
        <v/>
      </c>
      <c r="P35" s="18" t="n">
        <v>46231</v>
      </c>
      <c r="Q35" s="19" t="n">
        <f aca="false">SUMIF($B$8:$B$407,$P35,$J$8:$J$407)</f>
        <v>0</v>
      </c>
    </row>
    <row r="36" customFormat="false" ht="15" hidden="false" customHeight="false" outlineLevel="0" collapsed="false">
      <c r="A36" s="4" t="str">
        <f aca="false">IF($B36="","",ROW()-7)</f>
        <v/>
      </c>
      <c r="J36" s="9" t="str">
        <f aca="false">IF($H36="","",$H36*$I36)</f>
        <v/>
      </c>
      <c r="P36" s="18" t="n">
        <v>46232</v>
      </c>
      <c r="Q36" s="19" t="n">
        <f aca="false">SUMIF($B$8:$B$407,$P36,$J$8:$J$407)</f>
        <v>0</v>
      </c>
    </row>
    <row r="37" customFormat="false" ht="15" hidden="false" customHeight="false" outlineLevel="0" collapsed="false">
      <c r="A37" s="4" t="str">
        <f aca="false">IF($B37="","",ROW()-7)</f>
        <v/>
      </c>
      <c r="J37" s="9" t="str">
        <f aca="false">IF($H37="","",$H37*$I37)</f>
        <v/>
      </c>
      <c r="P37" s="18" t="n">
        <v>46233</v>
      </c>
      <c r="Q37" s="19" t="n">
        <f aca="false">SUMIF($B$8:$B$407,$P37,$J$8:$J$407)</f>
        <v>0</v>
      </c>
    </row>
    <row r="38" customFormat="false" ht="15" hidden="false" customHeight="false" outlineLevel="0" collapsed="false">
      <c r="A38" s="4" t="str">
        <f aca="false">IF($B38="","",ROW()-7)</f>
        <v/>
      </c>
      <c r="J38" s="9" t="str">
        <f aca="false">IF($H38="","",$H38*$I38)</f>
        <v/>
      </c>
      <c r="P38" s="18" t="n">
        <v>46234</v>
      </c>
      <c r="Q38" s="19" t="n">
        <f aca="false">SUMIF($B$8:$B$407,$P38,$J$8:$J$407)</f>
        <v>0</v>
      </c>
    </row>
    <row r="39" customFormat="false" ht="15" hidden="false" customHeight="false" outlineLevel="0" collapsed="false">
      <c r="A39" s="4" t="str">
        <f aca="false">IF($B39="","",ROW()-7)</f>
        <v/>
      </c>
      <c r="J39" s="9" t="str">
        <f aca="false">IF($H39="","",$H39*$I39)</f>
        <v/>
      </c>
      <c r="P39" s="20" t="s">
        <v>72</v>
      </c>
      <c r="Q39" s="21" t="n">
        <f aca="false">SUM($Q$8:$Q$38)</f>
        <v>97000000</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83</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0</v>
      </c>
    </row>
    <row r="4" customFormat="false" ht="15" hidden="false" customHeight="true" outlineLevel="0" collapsed="false">
      <c r="B4" s="11" t="s">
        <v>29</v>
      </c>
      <c r="C4" s="11"/>
      <c r="D4" s="12" t="n">
        <f aca="false">SUMIF($L$8:$L$407,"Đã chuyển khoản",$J$8:$J$407)</f>
        <v>0</v>
      </c>
    </row>
    <row r="5" customFormat="false" ht="15" hidden="false" customHeight="true" outlineLevel="0" collapsed="false">
      <c r="B5" s="11" t="s">
        <v>30</v>
      </c>
      <c r="C5" s="11"/>
      <c r="D5" s="12" t="n">
        <f aca="false">SUMIF($L$8:$L$407,"Chưa chuyển khoản",$J$8:$J$407)</f>
        <v>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str">
        <f aca="false">IF($B8="","",ROW()-7)</f>
        <v/>
      </c>
      <c r="J8" s="9" t="str">
        <f aca="false">IF($H8="","",$H8*$I8)</f>
        <v/>
      </c>
      <c r="P8" s="18" t="n">
        <v>46235</v>
      </c>
      <c r="Q8" s="19" t="n">
        <f aca="false">SUMIF($B$8:$B$407,$P8,$J$8:$J$407)</f>
        <v>0</v>
      </c>
    </row>
    <row r="9" customFormat="false" ht="15" hidden="false" customHeight="false" outlineLevel="0" collapsed="false">
      <c r="A9" s="4" t="str">
        <f aca="false">IF($B9="","",ROW()-7)</f>
        <v/>
      </c>
      <c r="J9" s="9" t="str">
        <f aca="false">IF($H9="","",$H9*$I9)</f>
        <v/>
      </c>
      <c r="P9" s="18" t="n">
        <v>46236</v>
      </c>
      <c r="Q9" s="19" t="n">
        <f aca="false">SUMIF($B$8:$B$407,$P9,$J$8:$J$407)</f>
        <v>0</v>
      </c>
    </row>
    <row r="10" customFormat="false" ht="15" hidden="false" customHeight="false" outlineLevel="0" collapsed="false">
      <c r="A10" s="4" t="str">
        <f aca="false">IF($B10="","",ROW()-7)</f>
        <v/>
      </c>
      <c r="J10" s="9" t="str">
        <f aca="false">IF($H10="","",$H10*$I10)</f>
        <v/>
      </c>
      <c r="P10" s="18" t="n">
        <v>46237</v>
      </c>
      <c r="Q10" s="19" t="n">
        <f aca="false">SUMIF($B$8:$B$407,$P10,$J$8:$J$407)</f>
        <v>0</v>
      </c>
    </row>
    <row r="11" customFormat="false" ht="15" hidden="false" customHeight="false" outlineLevel="0" collapsed="false">
      <c r="A11" s="4" t="str">
        <f aca="false">IF($B11="","",ROW()-7)</f>
        <v/>
      </c>
      <c r="J11" s="9" t="str">
        <f aca="false">IF($H11="","",$H11*$I11)</f>
        <v/>
      </c>
      <c r="P11" s="18" t="n">
        <v>46238</v>
      </c>
      <c r="Q11" s="19" t="n">
        <f aca="false">SUMIF($B$8:$B$407,$P11,$J$8:$J$407)</f>
        <v>0</v>
      </c>
    </row>
    <row r="12" customFormat="false" ht="15" hidden="false" customHeight="false" outlineLevel="0" collapsed="false">
      <c r="A12" s="4" t="str">
        <f aca="false">IF($B12="","",ROW()-7)</f>
        <v/>
      </c>
      <c r="J12" s="9" t="str">
        <f aca="false">IF($H12="","",$H12*$I12)</f>
        <v/>
      </c>
      <c r="P12" s="18" t="n">
        <v>46239</v>
      </c>
      <c r="Q12" s="19" t="n">
        <f aca="false">SUMIF($B$8:$B$407,$P12,$J$8:$J$407)</f>
        <v>0</v>
      </c>
    </row>
    <row r="13" customFormat="false" ht="15" hidden="false" customHeight="false" outlineLevel="0" collapsed="false">
      <c r="A13" s="4" t="str">
        <f aca="false">IF($B13="","",ROW()-7)</f>
        <v/>
      </c>
      <c r="J13" s="9" t="str">
        <f aca="false">IF($H13="","",$H13*$I13)</f>
        <v/>
      </c>
      <c r="P13" s="18" t="n">
        <v>46240</v>
      </c>
      <c r="Q13" s="19" t="n">
        <f aca="false">SUMIF($B$8:$B$407,$P13,$J$8:$J$407)</f>
        <v>0</v>
      </c>
    </row>
    <row r="14" customFormat="false" ht="15" hidden="false" customHeight="false" outlineLevel="0" collapsed="false">
      <c r="A14" s="4" t="str">
        <f aca="false">IF($B14="","",ROW()-7)</f>
        <v/>
      </c>
      <c r="J14" s="9" t="str">
        <f aca="false">IF($H14="","",$H14*$I14)</f>
        <v/>
      </c>
      <c r="P14" s="18" t="n">
        <v>46241</v>
      </c>
      <c r="Q14" s="19" t="n">
        <f aca="false">SUMIF($B$8:$B$407,$P14,$J$8:$J$407)</f>
        <v>0</v>
      </c>
    </row>
    <row r="15" customFormat="false" ht="15" hidden="false" customHeight="false" outlineLevel="0" collapsed="false">
      <c r="A15" s="4" t="str">
        <f aca="false">IF($B15="","",ROW()-7)</f>
        <v/>
      </c>
      <c r="J15" s="9" t="str">
        <f aca="false">IF($H15="","",$H15*$I15)</f>
        <v/>
      </c>
      <c r="P15" s="18" t="n">
        <v>46242</v>
      </c>
      <c r="Q15" s="19" t="n">
        <f aca="false">SUMIF($B$8:$B$407,$P15,$J$8:$J$407)</f>
        <v>0</v>
      </c>
    </row>
    <row r="16" customFormat="false" ht="15" hidden="false" customHeight="false" outlineLevel="0" collapsed="false">
      <c r="A16" s="4" t="str">
        <f aca="false">IF($B16="","",ROW()-7)</f>
        <v/>
      </c>
      <c r="J16" s="9" t="str">
        <f aca="false">IF($H16="","",$H16*$I16)</f>
        <v/>
      </c>
      <c r="P16" s="18" t="n">
        <v>46243</v>
      </c>
      <c r="Q16" s="19" t="n">
        <f aca="false">SUMIF($B$8:$B$407,$P16,$J$8:$J$407)</f>
        <v>0</v>
      </c>
    </row>
    <row r="17" customFormat="false" ht="15" hidden="false" customHeight="false" outlineLevel="0" collapsed="false">
      <c r="A17" s="4" t="str">
        <f aca="false">IF($B17="","",ROW()-7)</f>
        <v/>
      </c>
      <c r="J17" s="9" t="str">
        <f aca="false">IF($H17="","",$H17*$I17)</f>
        <v/>
      </c>
      <c r="P17" s="18" t="n">
        <v>46244</v>
      </c>
      <c r="Q17" s="19" t="n">
        <f aca="false">SUMIF($B$8:$B$407,$P17,$J$8:$J$407)</f>
        <v>0</v>
      </c>
    </row>
    <row r="18" customFormat="false" ht="15" hidden="false" customHeight="false" outlineLevel="0" collapsed="false">
      <c r="A18" s="4" t="str">
        <f aca="false">IF($B18="","",ROW()-7)</f>
        <v/>
      </c>
      <c r="J18" s="9" t="str">
        <f aca="false">IF($H18="","",$H18*$I18)</f>
        <v/>
      </c>
      <c r="P18" s="18" t="n">
        <v>46245</v>
      </c>
      <c r="Q18" s="19" t="n">
        <f aca="false">SUMIF($B$8:$B$407,$P18,$J$8:$J$407)</f>
        <v>0</v>
      </c>
    </row>
    <row r="19" customFormat="false" ht="15" hidden="false" customHeight="false" outlineLevel="0" collapsed="false">
      <c r="A19" s="4" t="str">
        <f aca="false">IF($B19="","",ROW()-7)</f>
        <v/>
      </c>
      <c r="J19" s="9" t="str">
        <f aca="false">IF($H19="","",$H19*$I19)</f>
        <v/>
      </c>
      <c r="P19" s="18" t="n">
        <v>46246</v>
      </c>
      <c r="Q19" s="19" t="n">
        <f aca="false">SUMIF($B$8:$B$407,$P19,$J$8:$J$407)</f>
        <v>0</v>
      </c>
    </row>
    <row r="20" customFormat="false" ht="15" hidden="false" customHeight="false" outlineLevel="0" collapsed="false">
      <c r="A20" s="4" t="str">
        <f aca="false">IF($B20="","",ROW()-7)</f>
        <v/>
      </c>
      <c r="J20" s="9" t="str">
        <f aca="false">IF($H20="","",$H20*$I20)</f>
        <v/>
      </c>
      <c r="P20" s="18" t="n">
        <v>46247</v>
      </c>
      <c r="Q20" s="19" t="n">
        <f aca="false">SUMIF($B$8:$B$407,$P20,$J$8:$J$407)</f>
        <v>0</v>
      </c>
    </row>
    <row r="21" customFormat="false" ht="15" hidden="false" customHeight="false" outlineLevel="0" collapsed="false">
      <c r="A21" s="4" t="str">
        <f aca="false">IF($B21="","",ROW()-7)</f>
        <v/>
      </c>
      <c r="J21" s="9" t="str">
        <f aca="false">IF($H21="","",$H21*$I21)</f>
        <v/>
      </c>
      <c r="P21" s="18" t="n">
        <v>46248</v>
      </c>
      <c r="Q21" s="19" t="n">
        <f aca="false">SUMIF($B$8:$B$407,$P21,$J$8:$J$407)</f>
        <v>0</v>
      </c>
    </row>
    <row r="22" customFormat="false" ht="15" hidden="false" customHeight="false" outlineLevel="0" collapsed="false">
      <c r="A22" s="4" t="str">
        <f aca="false">IF($B22="","",ROW()-7)</f>
        <v/>
      </c>
      <c r="J22" s="9" t="str">
        <f aca="false">IF($H22="","",$H22*$I22)</f>
        <v/>
      </c>
      <c r="P22" s="18" t="n">
        <v>46249</v>
      </c>
      <c r="Q22" s="19" t="n">
        <f aca="false">SUMIF($B$8:$B$407,$P22,$J$8:$J$407)</f>
        <v>0</v>
      </c>
    </row>
    <row r="23" customFormat="false" ht="15" hidden="false" customHeight="false" outlineLevel="0" collapsed="false">
      <c r="A23" s="4" t="str">
        <f aca="false">IF($B23="","",ROW()-7)</f>
        <v/>
      </c>
      <c r="J23" s="9" t="str">
        <f aca="false">IF($H23="","",$H23*$I23)</f>
        <v/>
      </c>
      <c r="P23" s="18" t="n">
        <v>46250</v>
      </c>
      <c r="Q23" s="19" t="n">
        <f aca="false">SUMIF($B$8:$B$407,$P23,$J$8:$J$407)</f>
        <v>0</v>
      </c>
    </row>
    <row r="24" customFormat="false" ht="15" hidden="false" customHeight="false" outlineLevel="0" collapsed="false">
      <c r="A24" s="4" t="str">
        <f aca="false">IF($B24="","",ROW()-7)</f>
        <v/>
      </c>
      <c r="J24" s="9" t="str">
        <f aca="false">IF($H24="","",$H24*$I24)</f>
        <v/>
      </c>
      <c r="P24" s="18" t="n">
        <v>46251</v>
      </c>
      <c r="Q24" s="19" t="n">
        <f aca="false">SUMIF($B$8:$B$407,$P24,$J$8:$J$407)</f>
        <v>0</v>
      </c>
    </row>
    <row r="25" customFormat="false" ht="15" hidden="false" customHeight="false" outlineLevel="0" collapsed="false">
      <c r="A25" s="4" t="str">
        <f aca="false">IF($B25="","",ROW()-7)</f>
        <v/>
      </c>
      <c r="J25" s="9" t="str">
        <f aca="false">IF($H25="","",$H25*$I25)</f>
        <v/>
      </c>
      <c r="P25" s="18" t="n">
        <v>46252</v>
      </c>
      <c r="Q25" s="19" t="n">
        <f aca="false">SUMIF($B$8:$B$407,$P25,$J$8:$J$407)</f>
        <v>0</v>
      </c>
    </row>
    <row r="26" customFormat="false" ht="15" hidden="false" customHeight="false" outlineLevel="0" collapsed="false">
      <c r="A26" s="4" t="str">
        <f aca="false">IF($B26="","",ROW()-7)</f>
        <v/>
      </c>
      <c r="J26" s="9" t="str">
        <f aca="false">IF($H26="","",$H26*$I26)</f>
        <v/>
      </c>
      <c r="P26" s="18" t="n">
        <v>46253</v>
      </c>
      <c r="Q26" s="19" t="n">
        <f aca="false">SUMIF($B$8:$B$407,$P26,$J$8:$J$407)</f>
        <v>0</v>
      </c>
    </row>
    <row r="27" customFormat="false" ht="15" hidden="false" customHeight="false" outlineLevel="0" collapsed="false">
      <c r="A27" s="4" t="str">
        <f aca="false">IF($B27="","",ROW()-7)</f>
        <v/>
      </c>
      <c r="J27" s="9" t="str">
        <f aca="false">IF($H27="","",$H27*$I27)</f>
        <v/>
      </c>
      <c r="P27" s="18" t="n">
        <v>46254</v>
      </c>
      <c r="Q27" s="19" t="n">
        <f aca="false">SUMIF($B$8:$B$407,$P27,$J$8:$J$407)</f>
        <v>0</v>
      </c>
    </row>
    <row r="28" customFormat="false" ht="15" hidden="false" customHeight="false" outlineLevel="0" collapsed="false">
      <c r="A28" s="4" t="str">
        <f aca="false">IF($B28="","",ROW()-7)</f>
        <v/>
      </c>
      <c r="J28" s="9" t="str">
        <f aca="false">IF($H28="","",$H28*$I28)</f>
        <v/>
      </c>
      <c r="P28" s="18" t="n">
        <v>46255</v>
      </c>
      <c r="Q28" s="19" t="n">
        <f aca="false">SUMIF($B$8:$B$407,$P28,$J$8:$J$407)</f>
        <v>0</v>
      </c>
    </row>
    <row r="29" customFormat="false" ht="15" hidden="false" customHeight="false" outlineLevel="0" collapsed="false">
      <c r="A29" s="4" t="str">
        <f aca="false">IF($B29="","",ROW()-7)</f>
        <v/>
      </c>
      <c r="J29" s="9" t="str">
        <f aca="false">IF($H29="","",$H29*$I29)</f>
        <v/>
      </c>
      <c r="P29" s="18" t="n">
        <v>46256</v>
      </c>
      <c r="Q29" s="19" t="n">
        <f aca="false">SUMIF($B$8:$B$407,$P29,$J$8:$J$407)</f>
        <v>0</v>
      </c>
    </row>
    <row r="30" customFormat="false" ht="15" hidden="false" customHeight="false" outlineLevel="0" collapsed="false">
      <c r="A30" s="4" t="str">
        <f aca="false">IF($B30="","",ROW()-7)</f>
        <v/>
      </c>
      <c r="J30" s="9" t="str">
        <f aca="false">IF($H30="","",$H30*$I30)</f>
        <v/>
      </c>
      <c r="P30" s="18" t="n">
        <v>46257</v>
      </c>
      <c r="Q30" s="19" t="n">
        <f aca="false">SUMIF($B$8:$B$407,$P30,$J$8:$J$407)</f>
        <v>0</v>
      </c>
    </row>
    <row r="31" customFormat="false" ht="15" hidden="false" customHeight="false" outlineLevel="0" collapsed="false">
      <c r="A31" s="4" t="str">
        <f aca="false">IF($B31="","",ROW()-7)</f>
        <v/>
      </c>
      <c r="J31" s="9" t="str">
        <f aca="false">IF($H31="","",$H31*$I31)</f>
        <v/>
      </c>
      <c r="P31" s="18" t="n">
        <v>46258</v>
      </c>
      <c r="Q31" s="19" t="n">
        <f aca="false">SUMIF($B$8:$B$407,$P31,$J$8:$J$407)</f>
        <v>0</v>
      </c>
    </row>
    <row r="32" customFormat="false" ht="15" hidden="false" customHeight="false" outlineLevel="0" collapsed="false">
      <c r="A32" s="4" t="str">
        <f aca="false">IF($B32="","",ROW()-7)</f>
        <v/>
      </c>
      <c r="J32" s="9" t="str">
        <f aca="false">IF($H32="","",$H32*$I32)</f>
        <v/>
      </c>
      <c r="P32" s="18" t="n">
        <v>46259</v>
      </c>
      <c r="Q32" s="19" t="n">
        <f aca="false">SUMIF($B$8:$B$407,$P32,$J$8:$J$407)</f>
        <v>0</v>
      </c>
    </row>
    <row r="33" customFormat="false" ht="15" hidden="false" customHeight="false" outlineLevel="0" collapsed="false">
      <c r="A33" s="4" t="str">
        <f aca="false">IF($B33="","",ROW()-7)</f>
        <v/>
      </c>
      <c r="J33" s="9" t="str">
        <f aca="false">IF($H33="","",$H33*$I33)</f>
        <v/>
      </c>
      <c r="P33" s="18" t="n">
        <v>46260</v>
      </c>
      <c r="Q33" s="19" t="n">
        <f aca="false">SUMIF($B$8:$B$407,$P33,$J$8:$J$407)</f>
        <v>0</v>
      </c>
    </row>
    <row r="34" customFormat="false" ht="15" hidden="false" customHeight="false" outlineLevel="0" collapsed="false">
      <c r="A34" s="4" t="str">
        <f aca="false">IF($B34="","",ROW()-7)</f>
        <v/>
      </c>
      <c r="J34" s="9" t="str">
        <f aca="false">IF($H34="","",$H34*$I34)</f>
        <v/>
      </c>
      <c r="P34" s="18" t="n">
        <v>46261</v>
      </c>
      <c r="Q34" s="19" t="n">
        <f aca="false">SUMIF($B$8:$B$407,$P34,$J$8:$J$407)</f>
        <v>0</v>
      </c>
    </row>
    <row r="35" customFormat="false" ht="15" hidden="false" customHeight="false" outlineLevel="0" collapsed="false">
      <c r="A35" s="4" t="str">
        <f aca="false">IF($B35="","",ROW()-7)</f>
        <v/>
      </c>
      <c r="J35" s="9" t="str">
        <f aca="false">IF($H35="","",$H35*$I35)</f>
        <v/>
      </c>
      <c r="P35" s="18" t="n">
        <v>46262</v>
      </c>
      <c r="Q35" s="19" t="n">
        <f aca="false">SUMIF($B$8:$B$407,$P35,$J$8:$J$407)</f>
        <v>0</v>
      </c>
    </row>
    <row r="36" customFormat="false" ht="15" hidden="false" customHeight="false" outlineLevel="0" collapsed="false">
      <c r="A36" s="4" t="str">
        <f aca="false">IF($B36="","",ROW()-7)</f>
        <v/>
      </c>
      <c r="J36" s="9" t="str">
        <f aca="false">IF($H36="","",$H36*$I36)</f>
        <v/>
      </c>
      <c r="P36" s="18" t="n">
        <v>46263</v>
      </c>
      <c r="Q36" s="19" t="n">
        <f aca="false">SUMIF($B$8:$B$407,$P36,$J$8:$J$407)</f>
        <v>0</v>
      </c>
    </row>
    <row r="37" customFormat="false" ht="15" hidden="false" customHeight="false" outlineLevel="0" collapsed="false">
      <c r="A37" s="4" t="str">
        <f aca="false">IF($B37="","",ROW()-7)</f>
        <v/>
      </c>
      <c r="J37" s="9" t="str">
        <f aca="false">IF($H37="","",$H37*$I37)</f>
        <v/>
      </c>
      <c r="P37" s="18" t="n">
        <v>46264</v>
      </c>
      <c r="Q37" s="19" t="n">
        <f aca="false">SUMIF($B$8:$B$407,$P37,$J$8:$J$407)</f>
        <v>0</v>
      </c>
    </row>
    <row r="38" customFormat="false" ht="15" hidden="false" customHeight="false" outlineLevel="0" collapsed="false">
      <c r="A38" s="4" t="str">
        <f aca="false">IF($B38="","",ROW()-7)</f>
        <v/>
      </c>
      <c r="J38" s="9" t="str">
        <f aca="false">IF($H38="","",$H38*$I38)</f>
        <v/>
      </c>
      <c r="P38" s="18" t="n">
        <v>46265</v>
      </c>
      <c r="Q38" s="19" t="n">
        <f aca="false">SUMIF($B$8:$B$407,$P38,$J$8:$J$407)</f>
        <v>0</v>
      </c>
    </row>
    <row r="39" customFormat="false" ht="15" hidden="false" customHeight="false" outlineLevel="0" collapsed="false">
      <c r="A39" s="4" t="str">
        <f aca="false">IF($B39="","",ROW()-7)</f>
        <v/>
      </c>
      <c r="J39" s="9" t="str">
        <f aca="false">IF($H39="","",$H39*$I39)</f>
        <v/>
      </c>
      <c r="P39" s="20" t="s">
        <v>72</v>
      </c>
      <c r="Q39" s="21" t="n">
        <f aca="false">SUM($Q$8:$Q$38)</f>
        <v>0</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84</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0</v>
      </c>
    </row>
    <row r="4" customFormat="false" ht="15" hidden="false" customHeight="true" outlineLevel="0" collapsed="false">
      <c r="B4" s="11" t="s">
        <v>29</v>
      </c>
      <c r="C4" s="11"/>
      <c r="D4" s="12" t="n">
        <f aca="false">SUMIF($L$8:$L$407,"Đã chuyển khoản",$J$8:$J$407)</f>
        <v>0</v>
      </c>
    </row>
    <row r="5" customFormat="false" ht="15" hidden="false" customHeight="true" outlineLevel="0" collapsed="false">
      <c r="B5" s="11" t="s">
        <v>30</v>
      </c>
      <c r="C5" s="11"/>
      <c r="D5" s="12" t="n">
        <f aca="false">SUMIF($L$8:$L$407,"Chưa chuyển khoản",$J$8:$J$407)</f>
        <v>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str">
        <f aca="false">IF($B8="","",ROW()-7)</f>
        <v/>
      </c>
      <c r="J8" s="9" t="str">
        <f aca="false">IF($H8="","",$H8*$I8)</f>
        <v/>
      </c>
      <c r="P8" s="18" t="n">
        <v>46266</v>
      </c>
      <c r="Q8" s="19" t="n">
        <f aca="false">SUMIF($B$8:$B$407,$P8,$J$8:$J$407)</f>
        <v>0</v>
      </c>
    </row>
    <row r="9" customFormat="false" ht="15" hidden="false" customHeight="false" outlineLevel="0" collapsed="false">
      <c r="A9" s="4" t="str">
        <f aca="false">IF($B9="","",ROW()-7)</f>
        <v/>
      </c>
      <c r="J9" s="9" t="str">
        <f aca="false">IF($H9="","",$H9*$I9)</f>
        <v/>
      </c>
      <c r="P9" s="18" t="n">
        <v>46267</v>
      </c>
      <c r="Q9" s="19" t="n">
        <f aca="false">SUMIF($B$8:$B$407,$P9,$J$8:$J$407)</f>
        <v>0</v>
      </c>
    </row>
    <row r="10" customFormat="false" ht="15" hidden="false" customHeight="false" outlineLevel="0" collapsed="false">
      <c r="A10" s="4" t="str">
        <f aca="false">IF($B10="","",ROW()-7)</f>
        <v/>
      </c>
      <c r="J10" s="9" t="str">
        <f aca="false">IF($H10="","",$H10*$I10)</f>
        <v/>
      </c>
      <c r="P10" s="18" t="n">
        <v>46268</v>
      </c>
      <c r="Q10" s="19" t="n">
        <f aca="false">SUMIF($B$8:$B$407,$P10,$J$8:$J$407)</f>
        <v>0</v>
      </c>
    </row>
    <row r="11" customFormat="false" ht="15" hidden="false" customHeight="false" outlineLevel="0" collapsed="false">
      <c r="A11" s="4" t="str">
        <f aca="false">IF($B11="","",ROW()-7)</f>
        <v/>
      </c>
      <c r="J11" s="9" t="str">
        <f aca="false">IF($H11="","",$H11*$I11)</f>
        <v/>
      </c>
      <c r="P11" s="18" t="n">
        <v>46269</v>
      </c>
      <c r="Q11" s="19" t="n">
        <f aca="false">SUMIF($B$8:$B$407,$P11,$J$8:$J$407)</f>
        <v>0</v>
      </c>
    </row>
    <row r="12" customFormat="false" ht="15" hidden="false" customHeight="false" outlineLevel="0" collapsed="false">
      <c r="A12" s="4" t="str">
        <f aca="false">IF($B12="","",ROW()-7)</f>
        <v/>
      </c>
      <c r="J12" s="9" t="str">
        <f aca="false">IF($H12="","",$H12*$I12)</f>
        <v/>
      </c>
      <c r="P12" s="18" t="n">
        <v>46270</v>
      </c>
      <c r="Q12" s="19" t="n">
        <f aca="false">SUMIF($B$8:$B$407,$P12,$J$8:$J$407)</f>
        <v>0</v>
      </c>
    </row>
    <row r="13" customFormat="false" ht="15" hidden="false" customHeight="false" outlineLevel="0" collapsed="false">
      <c r="A13" s="4" t="str">
        <f aca="false">IF($B13="","",ROW()-7)</f>
        <v/>
      </c>
      <c r="J13" s="9" t="str">
        <f aca="false">IF($H13="","",$H13*$I13)</f>
        <v/>
      </c>
      <c r="P13" s="18" t="n">
        <v>46271</v>
      </c>
      <c r="Q13" s="19" t="n">
        <f aca="false">SUMIF($B$8:$B$407,$P13,$J$8:$J$407)</f>
        <v>0</v>
      </c>
    </row>
    <row r="14" customFormat="false" ht="15" hidden="false" customHeight="false" outlineLevel="0" collapsed="false">
      <c r="A14" s="4" t="str">
        <f aca="false">IF($B14="","",ROW()-7)</f>
        <v/>
      </c>
      <c r="J14" s="9" t="str">
        <f aca="false">IF($H14="","",$H14*$I14)</f>
        <v/>
      </c>
      <c r="P14" s="18" t="n">
        <v>46272</v>
      </c>
      <c r="Q14" s="19" t="n">
        <f aca="false">SUMIF($B$8:$B$407,$P14,$J$8:$J$407)</f>
        <v>0</v>
      </c>
    </row>
    <row r="15" customFormat="false" ht="15" hidden="false" customHeight="false" outlineLevel="0" collapsed="false">
      <c r="A15" s="4" t="str">
        <f aca="false">IF($B15="","",ROW()-7)</f>
        <v/>
      </c>
      <c r="J15" s="9" t="str">
        <f aca="false">IF($H15="","",$H15*$I15)</f>
        <v/>
      </c>
      <c r="P15" s="18" t="n">
        <v>46273</v>
      </c>
      <c r="Q15" s="19" t="n">
        <f aca="false">SUMIF($B$8:$B$407,$P15,$J$8:$J$407)</f>
        <v>0</v>
      </c>
    </row>
    <row r="16" customFormat="false" ht="15" hidden="false" customHeight="false" outlineLevel="0" collapsed="false">
      <c r="A16" s="4" t="str">
        <f aca="false">IF($B16="","",ROW()-7)</f>
        <v/>
      </c>
      <c r="J16" s="9" t="str">
        <f aca="false">IF($H16="","",$H16*$I16)</f>
        <v/>
      </c>
      <c r="P16" s="18" t="n">
        <v>46274</v>
      </c>
      <c r="Q16" s="19" t="n">
        <f aca="false">SUMIF($B$8:$B$407,$P16,$J$8:$J$407)</f>
        <v>0</v>
      </c>
    </row>
    <row r="17" customFormat="false" ht="15" hidden="false" customHeight="false" outlineLevel="0" collapsed="false">
      <c r="A17" s="4" t="str">
        <f aca="false">IF($B17="","",ROW()-7)</f>
        <v/>
      </c>
      <c r="J17" s="9" t="str">
        <f aca="false">IF($H17="","",$H17*$I17)</f>
        <v/>
      </c>
      <c r="P17" s="18" t="n">
        <v>46275</v>
      </c>
      <c r="Q17" s="19" t="n">
        <f aca="false">SUMIF($B$8:$B$407,$P17,$J$8:$J$407)</f>
        <v>0</v>
      </c>
    </row>
    <row r="18" customFormat="false" ht="15" hidden="false" customHeight="false" outlineLevel="0" collapsed="false">
      <c r="A18" s="4" t="str">
        <f aca="false">IF($B18="","",ROW()-7)</f>
        <v/>
      </c>
      <c r="J18" s="9" t="str">
        <f aca="false">IF($H18="","",$H18*$I18)</f>
        <v/>
      </c>
      <c r="P18" s="18" t="n">
        <v>46276</v>
      </c>
      <c r="Q18" s="19" t="n">
        <f aca="false">SUMIF($B$8:$B$407,$P18,$J$8:$J$407)</f>
        <v>0</v>
      </c>
    </row>
    <row r="19" customFormat="false" ht="15" hidden="false" customHeight="false" outlineLevel="0" collapsed="false">
      <c r="A19" s="4" t="str">
        <f aca="false">IF($B19="","",ROW()-7)</f>
        <v/>
      </c>
      <c r="J19" s="9" t="str">
        <f aca="false">IF($H19="","",$H19*$I19)</f>
        <v/>
      </c>
      <c r="P19" s="18" t="n">
        <v>46277</v>
      </c>
      <c r="Q19" s="19" t="n">
        <f aca="false">SUMIF($B$8:$B$407,$P19,$J$8:$J$407)</f>
        <v>0</v>
      </c>
    </row>
    <row r="20" customFormat="false" ht="15" hidden="false" customHeight="false" outlineLevel="0" collapsed="false">
      <c r="A20" s="4" t="str">
        <f aca="false">IF($B20="","",ROW()-7)</f>
        <v/>
      </c>
      <c r="J20" s="9" t="str">
        <f aca="false">IF($H20="","",$H20*$I20)</f>
        <v/>
      </c>
      <c r="P20" s="18" t="n">
        <v>46278</v>
      </c>
      <c r="Q20" s="19" t="n">
        <f aca="false">SUMIF($B$8:$B$407,$P20,$J$8:$J$407)</f>
        <v>0</v>
      </c>
    </row>
    <row r="21" customFormat="false" ht="15" hidden="false" customHeight="false" outlineLevel="0" collapsed="false">
      <c r="A21" s="4" t="str">
        <f aca="false">IF($B21="","",ROW()-7)</f>
        <v/>
      </c>
      <c r="J21" s="9" t="str">
        <f aca="false">IF($H21="","",$H21*$I21)</f>
        <v/>
      </c>
      <c r="P21" s="18" t="n">
        <v>46279</v>
      </c>
      <c r="Q21" s="19" t="n">
        <f aca="false">SUMIF($B$8:$B$407,$P21,$J$8:$J$407)</f>
        <v>0</v>
      </c>
    </row>
    <row r="22" customFormat="false" ht="15" hidden="false" customHeight="false" outlineLevel="0" collapsed="false">
      <c r="A22" s="4" t="str">
        <f aca="false">IF($B22="","",ROW()-7)</f>
        <v/>
      </c>
      <c r="J22" s="9" t="str">
        <f aca="false">IF($H22="","",$H22*$I22)</f>
        <v/>
      </c>
      <c r="P22" s="18" t="n">
        <v>46280</v>
      </c>
      <c r="Q22" s="19" t="n">
        <f aca="false">SUMIF($B$8:$B$407,$P22,$J$8:$J$407)</f>
        <v>0</v>
      </c>
    </row>
    <row r="23" customFormat="false" ht="15" hidden="false" customHeight="false" outlineLevel="0" collapsed="false">
      <c r="A23" s="4" t="str">
        <f aca="false">IF($B23="","",ROW()-7)</f>
        <v/>
      </c>
      <c r="J23" s="9" t="str">
        <f aca="false">IF($H23="","",$H23*$I23)</f>
        <v/>
      </c>
      <c r="P23" s="18" t="n">
        <v>46281</v>
      </c>
      <c r="Q23" s="19" t="n">
        <f aca="false">SUMIF($B$8:$B$407,$P23,$J$8:$J$407)</f>
        <v>0</v>
      </c>
    </row>
    <row r="24" customFormat="false" ht="15" hidden="false" customHeight="false" outlineLevel="0" collapsed="false">
      <c r="A24" s="4" t="str">
        <f aca="false">IF($B24="","",ROW()-7)</f>
        <v/>
      </c>
      <c r="J24" s="9" t="str">
        <f aca="false">IF($H24="","",$H24*$I24)</f>
        <v/>
      </c>
      <c r="P24" s="18" t="n">
        <v>46282</v>
      </c>
      <c r="Q24" s="19" t="n">
        <f aca="false">SUMIF($B$8:$B$407,$P24,$J$8:$J$407)</f>
        <v>0</v>
      </c>
    </row>
    <row r="25" customFormat="false" ht="15" hidden="false" customHeight="false" outlineLevel="0" collapsed="false">
      <c r="A25" s="4" t="str">
        <f aca="false">IF($B25="","",ROW()-7)</f>
        <v/>
      </c>
      <c r="J25" s="9" t="str">
        <f aca="false">IF($H25="","",$H25*$I25)</f>
        <v/>
      </c>
      <c r="P25" s="18" t="n">
        <v>46283</v>
      </c>
      <c r="Q25" s="19" t="n">
        <f aca="false">SUMIF($B$8:$B$407,$P25,$J$8:$J$407)</f>
        <v>0</v>
      </c>
    </row>
    <row r="26" customFormat="false" ht="15" hidden="false" customHeight="false" outlineLevel="0" collapsed="false">
      <c r="A26" s="4" t="str">
        <f aca="false">IF($B26="","",ROW()-7)</f>
        <v/>
      </c>
      <c r="J26" s="9" t="str">
        <f aca="false">IF($H26="","",$H26*$I26)</f>
        <v/>
      </c>
      <c r="P26" s="18" t="n">
        <v>46284</v>
      </c>
      <c r="Q26" s="19" t="n">
        <f aca="false">SUMIF($B$8:$B$407,$P26,$J$8:$J$407)</f>
        <v>0</v>
      </c>
    </row>
    <row r="27" customFormat="false" ht="15" hidden="false" customHeight="false" outlineLevel="0" collapsed="false">
      <c r="A27" s="4" t="str">
        <f aca="false">IF($B27="","",ROW()-7)</f>
        <v/>
      </c>
      <c r="J27" s="9" t="str">
        <f aca="false">IF($H27="","",$H27*$I27)</f>
        <v/>
      </c>
      <c r="P27" s="18" t="n">
        <v>46285</v>
      </c>
      <c r="Q27" s="19" t="n">
        <f aca="false">SUMIF($B$8:$B$407,$P27,$J$8:$J$407)</f>
        <v>0</v>
      </c>
    </row>
    <row r="28" customFormat="false" ht="15" hidden="false" customHeight="false" outlineLevel="0" collapsed="false">
      <c r="A28" s="4" t="str">
        <f aca="false">IF($B28="","",ROW()-7)</f>
        <v/>
      </c>
      <c r="J28" s="9" t="str">
        <f aca="false">IF($H28="","",$H28*$I28)</f>
        <v/>
      </c>
      <c r="P28" s="18" t="n">
        <v>46286</v>
      </c>
      <c r="Q28" s="19" t="n">
        <f aca="false">SUMIF($B$8:$B$407,$P28,$J$8:$J$407)</f>
        <v>0</v>
      </c>
    </row>
    <row r="29" customFormat="false" ht="15" hidden="false" customHeight="false" outlineLevel="0" collapsed="false">
      <c r="A29" s="4" t="str">
        <f aca="false">IF($B29="","",ROW()-7)</f>
        <v/>
      </c>
      <c r="J29" s="9" t="str">
        <f aca="false">IF($H29="","",$H29*$I29)</f>
        <v/>
      </c>
      <c r="P29" s="18" t="n">
        <v>46287</v>
      </c>
      <c r="Q29" s="19" t="n">
        <f aca="false">SUMIF($B$8:$B$407,$P29,$J$8:$J$407)</f>
        <v>0</v>
      </c>
    </row>
    <row r="30" customFormat="false" ht="15" hidden="false" customHeight="false" outlineLevel="0" collapsed="false">
      <c r="A30" s="4" t="str">
        <f aca="false">IF($B30="","",ROW()-7)</f>
        <v/>
      </c>
      <c r="J30" s="9" t="str">
        <f aca="false">IF($H30="","",$H30*$I30)</f>
        <v/>
      </c>
      <c r="P30" s="18" t="n">
        <v>46288</v>
      </c>
      <c r="Q30" s="19" t="n">
        <f aca="false">SUMIF($B$8:$B$407,$P30,$J$8:$J$407)</f>
        <v>0</v>
      </c>
    </row>
    <row r="31" customFormat="false" ht="15" hidden="false" customHeight="false" outlineLevel="0" collapsed="false">
      <c r="A31" s="4" t="str">
        <f aca="false">IF($B31="","",ROW()-7)</f>
        <v/>
      </c>
      <c r="J31" s="9" t="str">
        <f aca="false">IF($H31="","",$H31*$I31)</f>
        <v/>
      </c>
      <c r="P31" s="18" t="n">
        <v>46289</v>
      </c>
      <c r="Q31" s="19" t="n">
        <f aca="false">SUMIF($B$8:$B$407,$P31,$J$8:$J$407)</f>
        <v>0</v>
      </c>
    </row>
    <row r="32" customFormat="false" ht="15" hidden="false" customHeight="false" outlineLevel="0" collapsed="false">
      <c r="A32" s="4" t="str">
        <f aca="false">IF($B32="","",ROW()-7)</f>
        <v/>
      </c>
      <c r="J32" s="9" t="str">
        <f aca="false">IF($H32="","",$H32*$I32)</f>
        <v/>
      </c>
      <c r="P32" s="18" t="n">
        <v>46290</v>
      </c>
      <c r="Q32" s="19" t="n">
        <f aca="false">SUMIF($B$8:$B$407,$P32,$J$8:$J$407)</f>
        <v>0</v>
      </c>
    </row>
    <row r="33" customFormat="false" ht="15" hidden="false" customHeight="false" outlineLevel="0" collapsed="false">
      <c r="A33" s="4" t="str">
        <f aca="false">IF($B33="","",ROW()-7)</f>
        <v/>
      </c>
      <c r="J33" s="9" t="str">
        <f aca="false">IF($H33="","",$H33*$I33)</f>
        <v/>
      </c>
      <c r="P33" s="18" t="n">
        <v>46291</v>
      </c>
      <c r="Q33" s="19" t="n">
        <f aca="false">SUMIF($B$8:$B$407,$P33,$J$8:$J$407)</f>
        <v>0</v>
      </c>
    </row>
    <row r="34" customFormat="false" ht="15" hidden="false" customHeight="false" outlineLevel="0" collapsed="false">
      <c r="A34" s="4" t="str">
        <f aca="false">IF($B34="","",ROW()-7)</f>
        <v/>
      </c>
      <c r="J34" s="9" t="str">
        <f aca="false">IF($H34="","",$H34*$I34)</f>
        <v/>
      </c>
      <c r="P34" s="18" t="n">
        <v>46292</v>
      </c>
      <c r="Q34" s="19" t="n">
        <f aca="false">SUMIF($B$8:$B$407,$P34,$J$8:$J$407)</f>
        <v>0</v>
      </c>
    </row>
    <row r="35" customFormat="false" ht="15" hidden="false" customHeight="false" outlineLevel="0" collapsed="false">
      <c r="A35" s="4" t="str">
        <f aca="false">IF($B35="","",ROW()-7)</f>
        <v/>
      </c>
      <c r="J35" s="9" t="str">
        <f aca="false">IF($H35="","",$H35*$I35)</f>
        <v/>
      </c>
      <c r="P35" s="18" t="n">
        <v>46293</v>
      </c>
      <c r="Q35" s="19" t="n">
        <f aca="false">SUMIF($B$8:$B$407,$P35,$J$8:$J$407)</f>
        <v>0</v>
      </c>
    </row>
    <row r="36" customFormat="false" ht="15" hidden="false" customHeight="false" outlineLevel="0" collapsed="false">
      <c r="A36" s="4" t="str">
        <f aca="false">IF($B36="","",ROW()-7)</f>
        <v/>
      </c>
      <c r="J36" s="9" t="str">
        <f aca="false">IF($H36="","",$H36*$I36)</f>
        <v/>
      </c>
      <c r="P36" s="18" t="n">
        <v>46294</v>
      </c>
      <c r="Q36" s="19" t="n">
        <f aca="false">SUMIF($B$8:$B$407,$P36,$J$8:$J$407)</f>
        <v>0</v>
      </c>
    </row>
    <row r="37" customFormat="false" ht="15" hidden="false" customHeight="false" outlineLevel="0" collapsed="false">
      <c r="A37" s="4" t="str">
        <f aca="false">IF($B37="","",ROW()-7)</f>
        <v/>
      </c>
      <c r="J37" s="9" t="str">
        <f aca="false">IF($H37="","",$H37*$I37)</f>
        <v/>
      </c>
      <c r="P37" s="18" t="n">
        <v>46295</v>
      </c>
      <c r="Q37" s="19" t="n">
        <f aca="false">SUMIF($B$8:$B$407,$P37,$J$8:$J$407)</f>
        <v>0</v>
      </c>
    </row>
    <row r="38" customFormat="false" ht="15" hidden="false" customHeight="false" outlineLevel="0" collapsed="false">
      <c r="A38" s="4" t="str">
        <f aca="false">IF($B38="","",ROW()-7)</f>
        <v/>
      </c>
      <c r="J38" s="9" t="str">
        <f aca="false">IF($H38="","",$H38*$I38)</f>
        <v/>
      </c>
      <c r="P38" s="20" t="s">
        <v>72</v>
      </c>
      <c r="Q38" s="21" t="n">
        <f aca="false">SUM($Q$8:$Q$37)</f>
        <v>0</v>
      </c>
    </row>
    <row r="39" customFormat="false" ht="15" hidden="false" customHeight="false" outlineLevel="0" collapsed="false">
      <c r="A39" s="4" t="str">
        <f aca="false">IF($B39="","",ROW()-7)</f>
        <v/>
      </c>
      <c r="J39" s="9" t="str">
        <f aca="false">IF($H39="","",$H39*$I39)</f>
        <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85</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0</v>
      </c>
    </row>
    <row r="4" customFormat="false" ht="15" hidden="false" customHeight="true" outlineLevel="0" collapsed="false">
      <c r="B4" s="11" t="s">
        <v>29</v>
      </c>
      <c r="C4" s="11"/>
      <c r="D4" s="12" t="n">
        <f aca="false">SUMIF($L$8:$L$407,"Đã chuyển khoản",$J$8:$J$407)</f>
        <v>0</v>
      </c>
    </row>
    <row r="5" customFormat="false" ht="15" hidden="false" customHeight="true" outlineLevel="0" collapsed="false">
      <c r="B5" s="11" t="s">
        <v>30</v>
      </c>
      <c r="C5" s="11"/>
      <c r="D5" s="12" t="n">
        <f aca="false">SUMIF($L$8:$L$407,"Chưa chuyển khoản",$J$8:$J$407)</f>
        <v>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str">
        <f aca="false">IF($B8="","",ROW()-7)</f>
        <v/>
      </c>
      <c r="J8" s="9" t="str">
        <f aca="false">IF($H8="","",$H8*$I8)</f>
        <v/>
      </c>
      <c r="P8" s="18" t="n">
        <v>46296</v>
      </c>
      <c r="Q8" s="19" t="n">
        <f aca="false">SUMIF($B$8:$B$407,$P8,$J$8:$J$407)</f>
        <v>0</v>
      </c>
    </row>
    <row r="9" customFormat="false" ht="15" hidden="false" customHeight="false" outlineLevel="0" collapsed="false">
      <c r="A9" s="4" t="str">
        <f aca="false">IF($B9="","",ROW()-7)</f>
        <v/>
      </c>
      <c r="J9" s="9" t="str">
        <f aca="false">IF($H9="","",$H9*$I9)</f>
        <v/>
      </c>
      <c r="P9" s="18" t="n">
        <v>46297</v>
      </c>
      <c r="Q9" s="19" t="n">
        <f aca="false">SUMIF($B$8:$B$407,$P9,$J$8:$J$407)</f>
        <v>0</v>
      </c>
    </row>
    <row r="10" customFormat="false" ht="15" hidden="false" customHeight="false" outlineLevel="0" collapsed="false">
      <c r="A10" s="4" t="str">
        <f aca="false">IF($B10="","",ROW()-7)</f>
        <v/>
      </c>
      <c r="J10" s="9" t="str">
        <f aca="false">IF($H10="","",$H10*$I10)</f>
        <v/>
      </c>
      <c r="P10" s="18" t="n">
        <v>46298</v>
      </c>
      <c r="Q10" s="19" t="n">
        <f aca="false">SUMIF($B$8:$B$407,$P10,$J$8:$J$407)</f>
        <v>0</v>
      </c>
    </row>
    <row r="11" customFormat="false" ht="15" hidden="false" customHeight="false" outlineLevel="0" collapsed="false">
      <c r="A11" s="4" t="str">
        <f aca="false">IF($B11="","",ROW()-7)</f>
        <v/>
      </c>
      <c r="J11" s="9" t="str">
        <f aca="false">IF($H11="","",$H11*$I11)</f>
        <v/>
      </c>
      <c r="P11" s="18" t="n">
        <v>46299</v>
      </c>
      <c r="Q11" s="19" t="n">
        <f aca="false">SUMIF($B$8:$B$407,$P11,$J$8:$J$407)</f>
        <v>0</v>
      </c>
    </row>
    <row r="12" customFormat="false" ht="15" hidden="false" customHeight="false" outlineLevel="0" collapsed="false">
      <c r="A12" s="4" t="str">
        <f aca="false">IF($B12="","",ROW()-7)</f>
        <v/>
      </c>
      <c r="J12" s="9" t="str">
        <f aca="false">IF($H12="","",$H12*$I12)</f>
        <v/>
      </c>
      <c r="P12" s="18" t="n">
        <v>46300</v>
      </c>
      <c r="Q12" s="19" t="n">
        <f aca="false">SUMIF($B$8:$B$407,$P12,$J$8:$J$407)</f>
        <v>0</v>
      </c>
    </row>
    <row r="13" customFormat="false" ht="15" hidden="false" customHeight="false" outlineLevel="0" collapsed="false">
      <c r="A13" s="4" t="str">
        <f aca="false">IF($B13="","",ROW()-7)</f>
        <v/>
      </c>
      <c r="J13" s="9" t="str">
        <f aca="false">IF($H13="","",$H13*$I13)</f>
        <v/>
      </c>
      <c r="P13" s="18" t="n">
        <v>46301</v>
      </c>
      <c r="Q13" s="19" t="n">
        <f aca="false">SUMIF($B$8:$B$407,$P13,$J$8:$J$407)</f>
        <v>0</v>
      </c>
    </row>
    <row r="14" customFormat="false" ht="15" hidden="false" customHeight="false" outlineLevel="0" collapsed="false">
      <c r="A14" s="4" t="str">
        <f aca="false">IF($B14="","",ROW()-7)</f>
        <v/>
      </c>
      <c r="J14" s="9" t="str">
        <f aca="false">IF($H14="","",$H14*$I14)</f>
        <v/>
      </c>
      <c r="P14" s="18" t="n">
        <v>46302</v>
      </c>
      <c r="Q14" s="19" t="n">
        <f aca="false">SUMIF($B$8:$B$407,$P14,$J$8:$J$407)</f>
        <v>0</v>
      </c>
    </row>
    <row r="15" customFormat="false" ht="15" hidden="false" customHeight="false" outlineLevel="0" collapsed="false">
      <c r="A15" s="4" t="str">
        <f aca="false">IF($B15="","",ROW()-7)</f>
        <v/>
      </c>
      <c r="J15" s="9" t="str">
        <f aca="false">IF($H15="","",$H15*$I15)</f>
        <v/>
      </c>
      <c r="P15" s="18" t="n">
        <v>46303</v>
      </c>
      <c r="Q15" s="19" t="n">
        <f aca="false">SUMIF($B$8:$B$407,$P15,$J$8:$J$407)</f>
        <v>0</v>
      </c>
    </row>
    <row r="16" customFormat="false" ht="15" hidden="false" customHeight="false" outlineLevel="0" collapsed="false">
      <c r="A16" s="4" t="str">
        <f aca="false">IF($B16="","",ROW()-7)</f>
        <v/>
      </c>
      <c r="J16" s="9" t="str">
        <f aca="false">IF($H16="","",$H16*$I16)</f>
        <v/>
      </c>
      <c r="P16" s="18" t="n">
        <v>46304</v>
      </c>
      <c r="Q16" s="19" t="n">
        <f aca="false">SUMIF($B$8:$B$407,$P16,$J$8:$J$407)</f>
        <v>0</v>
      </c>
    </row>
    <row r="17" customFormat="false" ht="15" hidden="false" customHeight="false" outlineLevel="0" collapsed="false">
      <c r="A17" s="4" t="str">
        <f aca="false">IF($B17="","",ROW()-7)</f>
        <v/>
      </c>
      <c r="J17" s="9" t="str">
        <f aca="false">IF($H17="","",$H17*$I17)</f>
        <v/>
      </c>
      <c r="P17" s="18" t="n">
        <v>46305</v>
      </c>
      <c r="Q17" s="19" t="n">
        <f aca="false">SUMIF($B$8:$B$407,$P17,$J$8:$J$407)</f>
        <v>0</v>
      </c>
    </row>
    <row r="18" customFormat="false" ht="15" hidden="false" customHeight="false" outlineLevel="0" collapsed="false">
      <c r="A18" s="4" t="str">
        <f aca="false">IF($B18="","",ROW()-7)</f>
        <v/>
      </c>
      <c r="J18" s="9" t="str">
        <f aca="false">IF($H18="","",$H18*$I18)</f>
        <v/>
      </c>
      <c r="P18" s="18" t="n">
        <v>46306</v>
      </c>
      <c r="Q18" s="19" t="n">
        <f aca="false">SUMIF($B$8:$B$407,$P18,$J$8:$J$407)</f>
        <v>0</v>
      </c>
    </row>
    <row r="19" customFormat="false" ht="15" hidden="false" customHeight="false" outlineLevel="0" collapsed="false">
      <c r="A19" s="4" t="str">
        <f aca="false">IF($B19="","",ROW()-7)</f>
        <v/>
      </c>
      <c r="J19" s="9" t="str">
        <f aca="false">IF($H19="","",$H19*$I19)</f>
        <v/>
      </c>
      <c r="P19" s="18" t="n">
        <v>46307</v>
      </c>
      <c r="Q19" s="19" t="n">
        <f aca="false">SUMIF($B$8:$B$407,$P19,$J$8:$J$407)</f>
        <v>0</v>
      </c>
    </row>
    <row r="20" customFormat="false" ht="15" hidden="false" customHeight="false" outlineLevel="0" collapsed="false">
      <c r="A20" s="4" t="str">
        <f aca="false">IF($B20="","",ROW()-7)</f>
        <v/>
      </c>
      <c r="J20" s="9" t="str">
        <f aca="false">IF($H20="","",$H20*$I20)</f>
        <v/>
      </c>
      <c r="P20" s="18" t="n">
        <v>46308</v>
      </c>
      <c r="Q20" s="19" t="n">
        <f aca="false">SUMIF($B$8:$B$407,$P20,$J$8:$J$407)</f>
        <v>0</v>
      </c>
    </row>
    <row r="21" customFormat="false" ht="15" hidden="false" customHeight="false" outlineLevel="0" collapsed="false">
      <c r="A21" s="4" t="str">
        <f aca="false">IF($B21="","",ROW()-7)</f>
        <v/>
      </c>
      <c r="J21" s="9" t="str">
        <f aca="false">IF($H21="","",$H21*$I21)</f>
        <v/>
      </c>
      <c r="P21" s="18" t="n">
        <v>46309</v>
      </c>
      <c r="Q21" s="19" t="n">
        <f aca="false">SUMIF($B$8:$B$407,$P21,$J$8:$J$407)</f>
        <v>0</v>
      </c>
    </row>
    <row r="22" customFormat="false" ht="15" hidden="false" customHeight="false" outlineLevel="0" collapsed="false">
      <c r="A22" s="4" t="str">
        <f aca="false">IF($B22="","",ROW()-7)</f>
        <v/>
      </c>
      <c r="J22" s="9" t="str">
        <f aca="false">IF($H22="","",$H22*$I22)</f>
        <v/>
      </c>
      <c r="P22" s="18" t="n">
        <v>46310</v>
      </c>
      <c r="Q22" s="19" t="n">
        <f aca="false">SUMIF($B$8:$B$407,$P22,$J$8:$J$407)</f>
        <v>0</v>
      </c>
    </row>
    <row r="23" customFormat="false" ht="15" hidden="false" customHeight="false" outlineLevel="0" collapsed="false">
      <c r="A23" s="4" t="str">
        <f aca="false">IF($B23="","",ROW()-7)</f>
        <v/>
      </c>
      <c r="J23" s="9" t="str">
        <f aca="false">IF($H23="","",$H23*$I23)</f>
        <v/>
      </c>
      <c r="P23" s="18" t="n">
        <v>46311</v>
      </c>
      <c r="Q23" s="19" t="n">
        <f aca="false">SUMIF($B$8:$B$407,$P23,$J$8:$J$407)</f>
        <v>0</v>
      </c>
    </row>
    <row r="24" customFormat="false" ht="15" hidden="false" customHeight="false" outlineLevel="0" collapsed="false">
      <c r="A24" s="4" t="str">
        <f aca="false">IF($B24="","",ROW()-7)</f>
        <v/>
      </c>
      <c r="J24" s="9" t="str">
        <f aca="false">IF($H24="","",$H24*$I24)</f>
        <v/>
      </c>
      <c r="P24" s="18" t="n">
        <v>46312</v>
      </c>
      <c r="Q24" s="19" t="n">
        <f aca="false">SUMIF($B$8:$B$407,$P24,$J$8:$J$407)</f>
        <v>0</v>
      </c>
    </row>
    <row r="25" customFormat="false" ht="15" hidden="false" customHeight="false" outlineLevel="0" collapsed="false">
      <c r="A25" s="4" t="str">
        <f aca="false">IF($B25="","",ROW()-7)</f>
        <v/>
      </c>
      <c r="J25" s="9" t="str">
        <f aca="false">IF($H25="","",$H25*$I25)</f>
        <v/>
      </c>
      <c r="P25" s="18" t="n">
        <v>46313</v>
      </c>
      <c r="Q25" s="19" t="n">
        <f aca="false">SUMIF($B$8:$B$407,$P25,$J$8:$J$407)</f>
        <v>0</v>
      </c>
    </row>
    <row r="26" customFormat="false" ht="15" hidden="false" customHeight="false" outlineLevel="0" collapsed="false">
      <c r="A26" s="4" t="str">
        <f aca="false">IF($B26="","",ROW()-7)</f>
        <v/>
      </c>
      <c r="J26" s="9" t="str">
        <f aca="false">IF($H26="","",$H26*$I26)</f>
        <v/>
      </c>
      <c r="P26" s="18" t="n">
        <v>46314</v>
      </c>
      <c r="Q26" s="19" t="n">
        <f aca="false">SUMIF($B$8:$B$407,$P26,$J$8:$J$407)</f>
        <v>0</v>
      </c>
    </row>
    <row r="27" customFormat="false" ht="15" hidden="false" customHeight="false" outlineLevel="0" collapsed="false">
      <c r="A27" s="4" t="str">
        <f aca="false">IF($B27="","",ROW()-7)</f>
        <v/>
      </c>
      <c r="J27" s="9" t="str">
        <f aca="false">IF($H27="","",$H27*$I27)</f>
        <v/>
      </c>
      <c r="P27" s="18" t="n">
        <v>46315</v>
      </c>
      <c r="Q27" s="19" t="n">
        <f aca="false">SUMIF($B$8:$B$407,$P27,$J$8:$J$407)</f>
        <v>0</v>
      </c>
    </row>
    <row r="28" customFormat="false" ht="15" hidden="false" customHeight="false" outlineLevel="0" collapsed="false">
      <c r="A28" s="4" t="str">
        <f aca="false">IF($B28="","",ROW()-7)</f>
        <v/>
      </c>
      <c r="J28" s="9" t="str">
        <f aca="false">IF($H28="","",$H28*$I28)</f>
        <v/>
      </c>
      <c r="P28" s="18" t="n">
        <v>46316</v>
      </c>
      <c r="Q28" s="19" t="n">
        <f aca="false">SUMIF($B$8:$B$407,$P28,$J$8:$J$407)</f>
        <v>0</v>
      </c>
    </row>
    <row r="29" customFormat="false" ht="15" hidden="false" customHeight="false" outlineLevel="0" collapsed="false">
      <c r="A29" s="4" t="str">
        <f aca="false">IF($B29="","",ROW()-7)</f>
        <v/>
      </c>
      <c r="J29" s="9" t="str">
        <f aca="false">IF($H29="","",$H29*$I29)</f>
        <v/>
      </c>
      <c r="P29" s="18" t="n">
        <v>46317</v>
      </c>
      <c r="Q29" s="19" t="n">
        <f aca="false">SUMIF($B$8:$B$407,$P29,$J$8:$J$407)</f>
        <v>0</v>
      </c>
    </row>
    <row r="30" customFormat="false" ht="15" hidden="false" customHeight="false" outlineLevel="0" collapsed="false">
      <c r="A30" s="4" t="str">
        <f aca="false">IF($B30="","",ROW()-7)</f>
        <v/>
      </c>
      <c r="J30" s="9" t="str">
        <f aca="false">IF($H30="","",$H30*$I30)</f>
        <v/>
      </c>
      <c r="P30" s="18" t="n">
        <v>46318</v>
      </c>
      <c r="Q30" s="19" t="n">
        <f aca="false">SUMIF($B$8:$B$407,$P30,$J$8:$J$407)</f>
        <v>0</v>
      </c>
    </row>
    <row r="31" customFormat="false" ht="15" hidden="false" customHeight="false" outlineLevel="0" collapsed="false">
      <c r="A31" s="4" t="str">
        <f aca="false">IF($B31="","",ROW()-7)</f>
        <v/>
      </c>
      <c r="J31" s="9" t="str">
        <f aca="false">IF($H31="","",$H31*$I31)</f>
        <v/>
      </c>
      <c r="P31" s="18" t="n">
        <v>46319</v>
      </c>
      <c r="Q31" s="19" t="n">
        <f aca="false">SUMIF($B$8:$B$407,$P31,$J$8:$J$407)</f>
        <v>0</v>
      </c>
    </row>
    <row r="32" customFormat="false" ht="15" hidden="false" customHeight="false" outlineLevel="0" collapsed="false">
      <c r="A32" s="4" t="str">
        <f aca="false">IF($B32="","",ROW()-7)</f>
        <v/>
      </c>
      <c r="J32" s="9" t="str">
        <f aca="false">IF($H32="","",$H32*$I32)</f>
        <v/>
      </c>
      <c r="P32" s="18" t="n">
        <v>46320</v>
      </c>
      <c r="Q32" s="19" t="n">
        <f aca="false">SUMIF($B$8:$B$407,$P32,$J$8:$J$407)</f>
        <v>0</v>
      </c>
    </row>
    <row r="33" customFormat="false" ht="15" hidden="false" customHeight="false" outlineLevel="0" collapsed="false">
      <c r="A33" s="4" t="str">
        <f aca="false">IF($B33="","",ROW()-7)</f>
        <v/>
      </c>
      <c r="J33" s="9" t="str">
        <f aca="false">IF($H33="","",$H33*$I33)</f>
        <v/>
      </c>
      <c r="P33" s="18" t="n">
        <v>46321</v>
      </c>
      <c r="Q33" s="19" t="n">
        <f aca="false">SUMIF($B$8:$B$407,$P33,$J$8:$J$407)</f>
        <v>0</v>
      </c>
    </row>
    <row r="34" customFormat="false" ht="15" hidden="false" customHeight="false" outlineLevel="0" collapsed="false">
      <c r="A34" s="4" t="str">
        <f aca="false">IF($B34="","",ROW()-7)</f>
        <v/>
      </c>
      <c r="J34" s="9" t="str">
        <f aca="false">IF($H34="","",$H34*$I34)</f>
        <v/>
      </c>
      <c r="P34" s="18" t="n">
        <v>46322</v>
      </c>
      <c r="Q34" s="19" t="n">
        <f aca="false">SUMIF($B$8:$B$407,$P34,$J$8:$J$407)</f>
        <v>0</v>
      </c>
    </row>
    <row r="35" customFormat="false" ht="15" hidden="false" customHeight="false" outlineLevel="0" collapsed="false">
      <c r="A35" s="4" t="str">
        <f aca="false">IF($B35="","",ROW()-7)</f>
        <v/>
      </c>
      <c r="J35" s="9" t="str">
        <f aca="false">IF($H35="","",$H35*$I35)</f>
        <v/>
      </c>
      <c r="P35" s="18" t="n">
        <v>46323</v>
      </c>
      <c r="Q35" s="19" t="n">
        <f aca="false">SUMIF($B$8:$B$407,$P35,$J$8:$J$407)</f>
        <v>0</v>
      </c>
    </row>
    <row r="36" customFormat="false" ht="15" hidden="false" customHeight="false" outlineLevel="0" collapsed="false">
      <c r="A36" s="4" t="str">
        <f aca="false">IF($B36="","",ROW()-7)</f>
        <v/>
      </c>
      <c r="J36" s="9" t="str">
        <f aca="false">IF($H36="","",$H36*$I36)</f>
        <v/>
      </c>
      <c r="P36" s="18" t="n">
        <v>46324</v>
      </c>
      <c r="Q36" s="19" t="n">
        <f aca="false">SUMIF($B$8:$B$407,$P36,$J$8:$J$407)</f>
        <v>0</v>
      </c>
    </row>
    <row r="37" customFormat="false" ht="15" hidden="false" customHeight="false" outlineLevel="0" collapsed="false">
      <c r="A37" s="4" t="str">
        <f aca="false">IF($B37="","",ROW()-7)</f>
        <v/>
      </c>
      <c r="J37" s="9" t="str">
        <f aca="false">IF($H37="","",$H37*$I37)</f>
        <v/>
      </c>
      <c r="P37" s="18" t="n">
        <v>46325</v>
      </c>
      <c r="Q37" s="19" t="n">
        <f aca="false">SUMIF($B$8:$B$407,$P37,$J$8:$J$407)</f>
        <v>0</v>
      </c>
    </row>
    <row r="38" customFormat="false" ht="15" hidden="false" customHeight="false" outlineLevel="0" collapsed="false">
      <c r="A38" s="4" t="str">
        <f aca="false">IF($B38="","",ROW()-7)</f>
        <v/>
      </c>
      <c r="J38" s="9" t="str">
        <f aca="false">IF($H38="","",$H38*$I38)</f>
        <v/>
      </c>
      <c r="P38" s="18" t="n">
        <v>46326</v>
      </c>
      <c r="Q38" s="19" t="n">
        <f aca="false">SUMIF($B$8:$B$407,$P38,$J$8:$J$407)</f>
        <v>0</v>
      </c>
    </row>
    <row r="39" customFormat="false" ht="15" hidden="false" customHeight="false" outlineLevel="0" collapsed="false">
      <c r="A39" s="4" t="str">
        <f aca="false">IF($B39="","",ROW()-7)</f>
        <v/>
      </c>
      <c r="J39" s="9" t="str">
        <f aca="false">IF($H39="","",$H39*$I39)</f>
        <v/>
      </c>
      <c r="P39" s="20" t="s">
        <v>72</v>
      </c>
      <c r="Q39" s="21" t="n">
        <f aca="false">SUM($Q$8:$Q$38)</f>
        <v>0</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86</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0</v>
      </c>
    </row>
    <row r="4" customFormat="false" ht="15" hidden="false" customHeight="true" outlineLevel="0" collapsed="false">
      <c r="B4" s="11" t="s">
        <v>29</v>
      </c>
      <c r="C4" s="11"/>
      <c r="D4" s="12" t="n">
        <f aca="false">SUMIF($L$8:$L$407,"Đã chuyển khoản",$J$8:$J$407)</f>
        <v>0</v>
      </c>
    </row>
    <row r="5" customFormat="false" ht="15" hidden="false" customHeight="true" outlineLevel="0" collapsed="false">
      <c r="B5" s="11" t="s">
        <v>30</v>
      </c>
      <c r="C5" s="11"/>
      <c r="D5" s="12" t="n">
        <f aca="false">SUMIF($L$8:$L$407,"Chưa chuyển khoản",$J$8:$J$407)</f>
        <v>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str">
        <f aca="false">IF($B8="","",ROW()-7)</f>
        <v/>
      </c>
      <c r="J8" s="9" t="str">
        <f aca="false">IF($H8="","",$H8*$I8)</f>
        <v/>
      </c>
      <c r="P8" s="18" t="n">
        <v>46327</v>
      </c>
      <c r="Q8" s="19" t="n">
        <f aca="false">SUMIF($B$8:$B$407,$P8,$J$8:$J$407)</f>
        <v>0</v>
      </c>
    </row>
    <row r="9" customFormat="false" ht="15" hidden="false" customHeight="false" outlineLevel="0" collapsed="false">
      <c r="A9" s="4" t="str">
        <f aca="false">IF($B9="","",ROW()-7)</f>
        <v/>
      </c>
      <c r="J9" s="9" t="str">
        <f aca="false">IF($H9="","",$H9*$I9)</f>
        <v/>
      </c>
      <c r="P9" s="18" t="n">
        <v>46328</v>
      </c>
      <c r="Q9" s="19" t="n">
        <f aca="false">SUMIF($B$8:$B$407,$P9,$J$8:$J$407)</f>
        <v>0</v>
      </c>
    </row>
    <row r="10" customFormat="false" ht="15" hidden="false" customHeight="false" outlineLevel="0" collapsed="false">
      <c r="A10" s="4" t="str">
        <f aca="false">IF($B10="","",ROW()-7)</f>
        <v/>
      </c>
      <c r="J10" s="9" t="str">
        <f aca="false">IF($H10="","",$H10*$I10)</f>
        <v/>
      </c>
      <c r="P10" s="18" t="n">
        <v>46329</v>
      </c>
      <c r="Q10" s="19" t="n">
        <f aca="false">SUMIF($B$8:$B$407,$P10,$J$8:$J$407)</f>
        <v>0</v>
      </c>
    </row>
    <row r="11" customFormat="false" ht="15" hidden="false" customHeight="false" outlineLevel="0" collapsed="false">
      <c r="A11" s="4" t="str">
        <f aca="false">IF($B11="","",ROW()-7)</f>
        <v/>
      </c>
      <c r="J11" s="9" t="str">
        <f aca="false">IF($H11="","",$H11*$I11)</f>
        <v/>
      </c>
      <c r="P11" s="18" t="n">
        <v>46330</v>
      </c>
      <c r="Q11" s="19" t="n">
        <f aca="false">SUMIF($B$8:$B$407,$P11,$J$8:$J$407)</f>
        <v>0</v>
      </c>
    </row>
    <row r="12" customFormat="false" ht="15" hidden="false" customHeight="false" outlineLevel="0" collapsed="false">
      <c r="A12" s="4" t="str">
        <f aca="false">IF($B12="","",ROW()-7)</f>
        <v/>
      </c>
      <c r="J12" s="9" t="str">
        <f aca="false">IF($H12="","",$H12*$I12)</f>
        <v/>
      </c>
      <c r="P12" s="18" t="n">
        <v>46331</v>
      </c>
      <c r="Q12" s="19" t="n">
        <f aca="false">SUMIF($B$8:$B$407,$P12,$J$8:$J$407)</f>
        <v>0</v>
      </c>
    </row>
    <row r="13" customFormat="false" ht="15" hidden="false" customHeight="false" outlineLevel="0" collapsed="false">
      <c r="A13" s="4" t="str">
        <f aca="false">IF($B13="","",ROW()-7)</f>
        <v/>
      </c>
      <c r="J13" s="9" t="str">
        <f aca="false">IF($H13="","",$H13*$I13)</f>
        <v/>
      </c>
      <c r="P13" s="18" t="n">
        <v>46332</v>
      </c>
      <c r="Q13" s="19" t="n">
        <f aca="false">SUMIF($B$8:$B$407,$P13,$J$8:$J$407)</f>
        <v>0</v>
      </c>
    </row>
    <row r="14" customFormat="false" ht="15" hidden="false" customHeight="false" outlineLevel="0" collapsed="false">
      <c r="A14" s="4" t="str">
        <f aca="false">IF($B14="","",ROW()-7)</f>
        <v/>
      </c>
      <c r="J14" s="9" t="str">
        <f aca="false">IF($H14="","",$H14*$I14)</f>
        <v/>
      </c>
      <c r="P14" s="18" t="n">
        <v>46333</v>
      </c>
      <c r="Q14" s="19" t="n">
        <f aca="false">SUMIF($B$8:$B$407,$P14,$J$8:$J$407)</f>
        <v>0</v>
      </c>
    </row>
    <row r="15" customFormat="false" ht="15" hidden="false" customHeight="false" outlineLevel="0" collapsed="false">
      <c r="A15" s="4" t="str">
        <f aca="false">IF($B15="","",ROW()-7)</f>
        <v/>
      </c>
      <c r="J15" s="9" t="str">
        <f aca="false">IF($H15="","",$H15*$I15)</f>
        <v/>
      </c>
      <c r="P15" s="18" t="n">
        <v>46334</v>
      </c>
      <c r="Q15" s="19" t="n">
        <f aca="false">SUMIF($B$8:$B$407,$P15,$J$8:$J$407)</f>
        <v>0</v>
      </c>
    </row>
    <row r="16" customFormat="false" ht="15" hidden="false" customHeight="false" outlineLevel="0" collapsed="false">
      <c r="A16" s="4" t="str">
        <f aca="false">IF($B16="","",ROW()-7)</f>
        <v/>
      </c>
      <c r="J16" s="9" t="str">
        <f aca="false">IF($H16="","",$H16*$I16)</f>
        <v/>
      </c>
      <c r="P16" s="18" t="n">
        <v>46335</v>
      </c>
      <c r="Q16" s="19" t="n">
        <f aca="false">SUMIF($B$8:$B$407,$P16,$J$8:$J$407)</f>
        <v>0</v>
      </c>
    </row>
    <row r="17" customFormat="false" ht="15" hidden="false" customHeight="false" outlineLevel="0" collapsed="false">
      <c r="A17" s="4" t="str">
        <f aca="false">IF($B17="","",ROW()-7)</f>
        <v/>
      </c>
      <c r="J17" s="9" t="str">
        <f aca="false">IF($H17="","",$H17*$I17)</f>
        <v/>
      </c>
      <c r="P17" s="18" t="n">
        <v>46336</v>
      </c>
      <c r="Q17" s="19" t="n">
        <f aca="false">SUMIF($B$8:$B$407,$P17,$J$8:$J$407)</f>
        <v>0</v>
      </c>
    </row>
    <row r="18" customFormat="false" ht="15" hidden="false" customHeight="false" outlineLevel="0" collapsed="false">
      <c r="A18" s="4" t="str">
        <f aca="false">IF($B18="","",ROW()-7)</f>
        <v/>
      </c>
      <c r="J18" s="9" t="str">
        <f aca="false">IF($H18="","",$H18*$I18)</f>
        <v/>
      </c>
      <c r="P18" s="18" t="n">
        <v>46337</v>
      </c>
      <c r="Q18" s="19" t="n">
        <f aca="false">SUMIF($B$8:$B$407,$P18,$J$8:$J$407)</f>
        <v>0</v>
      </c>
    </row>
    <row r="19" customFormat="false" ht="15" hidden="false" customHeight="false" outlineLevel="0" collapsed="false">
      <c r="A19" s="4" t="str">
        <f aca="false">IF($B19="","",ROW()-7)</f>
        <v/>
      </c>
      <c r="J19" s="9" t="str">
        <f aca="false">IF($H19="","",$H19*$I19)</f>
        <v/>
      </c>
      <c r="P19" s="18" t="n">
        <v>46338</v>
      </c>
      <c r="Q19" s="19" t="n">
        <f aca="false">SUMIF($B$8:$B$407,$P19,$J$8:$J$407)</f>
        <v>0</v>
      </c>
    </row>
    <row r="20" customFormat="false" ht="15" hidden="false" customHeight="false" outlineLevel="0" collapsed="false">
      <c r="A20" s="4" t="str">
        <f aca="false">IF($B20="","",ROW()-7)</f>
        <v/>
      </c>
      <c r="J20" s="9" t="str">
        <f aca="false">IF($H20="","",$H20*$I20)</f>
        <v/>
      </c>
      <c r="P20" s="18" t="n">
        <v>46339</v>
      </c>
      <c r="Q20" s="19" t="n">
        <f aca="false">SUMIF($B$8:$B$407,$P20,$J$8:$J$407)</f>
        <v>0</v>
      </c>
    </row>
    <row r="21" customFormat="false" ht="15" hidden="false" customHeight="false" outlineLevel="0" collapsed="false">
      <c r="A21" s="4" t="str">
        <f aca="false">IF($B21="","",ROW()-7)</f>
        <v/>
      </c>
      <c r="J21" s="9" t="str">
        <f aca="false">IF($H21="","",$H21*$I21)</f>
        <v/>
      </c>
      <c r="P21" s="18" t="n">
        <v>46340</v>
      </c>
      <c r="Q21" s="19" t="n">
        <f aca="false">SUMIF($B$8:$B$407,$P21,$J$8:$J$407)</f>
        <v>0</v>
      </c>
    </row>
    <row r="22" customFormat="false" ht="15" hidden="false" customHeight="false" outlineLevel="0" collapsed="false">
      <c r="A22" s="4" t="str">
        <f aca="false">IF($B22="","",ROW()-7)</f>
        <v/>
      </c>
      <c r="J22" s="9" t="str">
        <f aca="false">IF($H22="","",$H22*$I22)</f>
        <v/>
      </c>
      <c r="P22" s="18" t="n">
        <v>46341</v>
      </c>
      <c r="Q22" s="19" t="n">
        <f aca="false">SUMIF($B$8:$B$407,$P22,$J$8:$J$407)</f>
        <v>0</v>
      </c>
    </row>
    <row r="23" customFormat="false" ht="15" hidden="false" customHeight="false" outlineLevel="0" collapsed="false">
      <c r="A23" s="4" t="str">
        <f aca="false">IF($B23="","",ROW()-7)</f>
        <v/>
      </c>
      <c r="J23" s="9" t="str">
        <f aca="false">IF($H23="","",$H23*$I23)</f>
        <v/>
      </c>
      <c r="P23" s="18" t="n">
        <v>46342</v>
      </c>
      <c r="Q23" s="19" t="n">
        <f aca="false">SUMIF($B$8:$B$407,$P23,$J$8:$J$407)</f>
        <v>0</v>
      </c>
    </row>
    <row r="24" customFormat="false" ht="15" hidden="false" customHeight="false" outlineLevel="0" collapsed="false">
      <c r="A24" s="4" t="str">
        <f aca="false">IF($B24="","",ROW()-7)</f>
        <v/>
      </c>
      <c r="J24" s="9" t="str">
        <f aca="false">IF($H24="","",$H24*$I24)</f>
        <v/>
      </c>
      <c r="P24" s="18" t="n">
        <v>46343</v>
      </c>
      <c r="Q24" s="19" t="n">
        <f aca="false">SUMIF($B$8:$B$407,$P24,$J$8:$J$407)</f>
        <v>0</v>
      </c>
    </row>
    <row r="25" customFormat="false" ht="15" hidden="false" customHeight="false" outlineLevel="0" collapsed="false">
      <c r="A25" s="4" t="str">
        <f aca="false">IF($B25="","",ROW()-7)</f>
        <v/>
      </c>
      <c r="J25" s="9" t="str">
        <f aca="false">IF($H25="","",$H25*$I25)</f>
        <v/>
      </c>
      <c r="P25" s="18" t="n">
        <v>46344</v>
      </c>
      <c r="Q25" s="19" t="n">
        <f aca="false">SUMIF($B$8:$B$407,$P25,$J$8:$J$407)</f>
        <v>0</v>
      </c>
    </row>
    <row r="26" customFormat="false" ht="15" hidden="false" customHeight="false" outlineLevel="0" collapsed="false">
      <c r="A26" s="4" t="str">
        <f aca="false">IF($B26="","",ROW()-7)</f>
        <v/>
      </c>
      <c r="J26" s="9" t="str">
        <f aca="false">IF($H26="","",$H26*$I26)</f>
        <v/>
      </c>
      <c r="P26" s="18" t="n">
        <v>46345</v>
      </c>
      <c r="Q26" s="19" t="n">
        <f aca="false">SUMIF($B$8:$B$407,$P26,$J$8:$J$407)</f>
        <v>0</v>
      </c>
    </row>
    <row r="27" customFormat="false" ht="15" hidden="false" customHeight="false" outlineLevel="0" collapsed="false">
      <c r="A27" s="4" t="str">
        <f aca="false">IF($B27="","",ROW()-7)</f>
        <v/>
      </c>
      <c r="J27" s="9" t="str">
        <f aca="false">IF($H27="","",$H27*$I27)</f>
        <v/>
      </c>
      <c r="P27" s="18" t="n">
        <v>46346</v>
      </c>
      <c r="Q27" s="19" t="n">
        <f aca="false">SUMIF($B$8:$B$407,$P27,$J$8:$J$407)</f>
        <v>0</v>
      </c>
    </row>
    <row r="28" customFormat="false" ht="15" hidden="false" customHeight="false" outlineLevel="0" collapsed="false">
      <c r="A28" s="4" t="str">
        <f aca="false">IF($B28="","",ROW()-7)</f>
        <v/>
      </c>
      <c r="J28" s="9" t="str">
        <f aca="false">IF($H28="","",$H28*$I28)</f>
        <v/>
      </c>
      <c r="P28" s="18" t="n">
        <v>46347</v>
      </c>
      <c r="Q28" s="19" t="n">
        <f aca="false">SUMIF($B$8:$B$407,$P28,$J$8:$J$407)</f>
        <v>0</v>
      </c>
    </row>
    <row r="29" customFormat="false" ht="15" hidden="false" customHeight="false" outlineLevel="0" collapsed="false">
      <c r="A29" s="4" t="str">
        <f aca="false">IF($B29="","",ROW()-7)</f>
        <v/>
      </c>
      <c r="J29" s="9" t="str">
        <f aca="false">IF($H29="","",$H29*$I29)</f>
        <v/>
      </c>
      <c r="P29" s="18" t="n">
        <v>46348</v>
      </c>
      <c r="Q29" s="19" t="n">
        <f aca="false">SUMIF($B$8:$B$407,$P29,$J$8:$J$407)</f>
        <v>0</v>
      </c>
    </row>
    <row r="30" customFormat="false" ht="15" hidden="false" customHeight="false" outlineLevel="0" collapsed="false">
      <c r="A30" s="4" t="str">
        <f aca="false">IF($B30="","",ROW()-7)</f>
        <v/>
      </c>
      <c r="J30" s="9" t="str">
        <f aca="false">IF($H30="","",$H30*$I30)</f>
        <v/>
      </c>
      <c r="P30" s="18" t="n">
        <v>46349</v>
      </c>
      <c r="Q30" s="19" t="n">
        <f aca="false">SUMIF($B$8:$B$407,$P30,$J$8:$J$407)</f>
        <v>0</v>
      </c>
    </row>
    <row r="31" customFormat="false" ht="15" hidden="false" customHeight="false" outlineLevel="0" collapsed="false">
      <c r="A31" s="4" t="str">
        <f aca="false">IF($B31="","",ROW()-7)</f>
        <v/>
      </c>
      <c r="J31" s="9" t="str">
        <f aca="false">IF($H31="","",$H31*$I31)</f>
        <v/>
      </c>
      <c r="P31" s="18" t="n">
        <v>46350</v>
      </c>
      <c r="Q31" s="19" t="n">
        <f aca="false">SUMIF($B$8:$B$407,$P31,$J$8:$J$407)</f>
        <v>0</v>
      </c>
    </row>
    <row r="32" customFormat="false" ht="15" hidden="false" customHeight="false" outlineLevel="0" collapsed="false">
      <c r="A32" s="4" t="str">
        <f aca="false">IF($B32="","",ROW()-7)</f>
        <v/>
      </c>
      <c r="J32" s="9" t="str">
        <f aca="false">IF($H32="","",$H32*$I32)</f>
        <v/>
      </c>
      <c r="P32" s="18" t="n">
        <v>46351</v>
      </c>
      <c r="Q32" s="19" t="n">
        <f aca="false">SUMIF($B$8:$B$407,$P32,$J$8:$J$407)</f>
        <v>0</v>
      </c>
    </row>
    <row r="33" customFormat="false" ht="15" hidden="false" customHeight="false" outlineLevel="0" collapsed="false">
      <c r="A33" s="4" t="str">
        <f aca="false">IF($B33="","",ROW()-7)</f>
        <v/>
      </c>
      <c r="J33" s="9" t="str">
        <f aca="false">IF($H33="","",$H33*$I33)</f>
        <v/>
      </c>
      <c r="P33" s="18" t="n">
        <v>46352</v>
      </c>
      <c r="Q33" s="19" t="n">
        <f aca="false">SUMIF($B$8:$B$407,$P33,$J$8:$J$407)</f>
        <v>0</v>
      </c>
    </row>
    <row r="34" customFormat="false" ht="15" hidden="false" customHeight="false" outlineLevel="0" collapsed="false">
      <c r="A34" s="4" t="str">
        <f aca="false">IF($B34="","",ROW()-7)</f>
        <v/>
      </c>
      <c r="J34" s="9" t="str">
        <f aca="false">IF($H34="","",$H34*$I34)</f>
        <v/>
      </c>
      <c r="P34" s="18" t="n">
        <v>46353</v>
      </c>
      <c r="Q34" s="19" t="n">
        <f aca="false">SUMIF($B$8:$B$407,$P34,$J$8:$J$407)</f>
        <v>0</v>
      </c>
    </row>
    <row r="35" customFormat="false" ht="15" hidden="false" customHeight="false" outlineLevel="0" collapsed="false">
      <c r="A35" s="4" t="str">
        <f aca="false">IF($B35="","",ROW()-7)</f>
        <v/>
      </c>
      <c r="J35" s="9" t="str">
        <f aca="false">IF($H35="","",$H35*$I35)</f>
        <v/>
      </c>
      <c r="P35" s="18" t="n">
        <v>46354</v>
      </c>
      <c r="Q35" s="19" t="n">
        <f aca="false">SUMIF($B$8:$B$407,$P35,$J$8:$J$407)</f>
        <v>0</v>
      </c>
    </row>
    <row r="36" customFormat="false" ht="15" hidden="false" customHeight="false" outlineLevel="0" collapsed="false">
      <c r="A36" s="4" t="str">
        <f aca="false">IF($B36="","",ROW()-7)</f>
        <v/>
      </c>
      <c r="J36" s="9" t="str">
        <f aca="false">IF($H36="","",$H36*$I36)</f>
        <v/>
      </c>
      <c r="P36" s="18" t="n">
        <v>46355</v>
      </c>
      <c r="Q36" s="19" t="n">
        <f aca="false">SUMIF($B$8:$B$407,$P36,$J$8:$J$407)</f>
        <v>0</v>
      </c>
    </row>
    <row r="37" customFormat="false" ht="15" hidden="false" customHeight="false" outlineLevel="0" collapsed="false">
      <c r="A37" s="4" t="str">
        <f aca="false">IF($B37="","",ROW()-7)</f>
        <v/>
      </c>
      <c r="J37" s="9" t="str">
        <f aca="false">IF($H37="","",$H37*$I37)</f>
        <v/>
      </c>
      <c r="P37" s="18" t="n">
        <v>46356</v>
      </c>
      <c r="Q37" s="19" t="n">
        <f aca="false">SUMIF($B$8:$B$407,$P37,$J$8:$J$407)</f>
        <v>0</v>
      </c>
    </row>
    <row r="38" customFormat="false" ht="15" hidden="false" customHeight="false" outlineLevel="0" collapsed="false">
      <c r="A38" s="4" t="str">
        <f aca="false">IF($B38="","",ROW()-7)</f>
        <v/>
      </c>
      <c r="J38" s="9" t="str">
        <f aca="false">IF($H38="","",$H38*$I38)</f>
        <v/>
      </c>
      <c r="P38" s="20" t="s">
        <v>72</v>
      </c>
      <c r="Q38" s="21" t="n">
        <f aca="false">SUM($Q$8:$Q$37)</f>
        <v>0</v>
      </c>
    </row>
    <row r="39" customFormat="false" ht="15" hidden="false" customHeight="false" outlineLevel="0" collapsed="false">
      <c r="A39" s="4" t="str">
        <f aca="false">IF($B39="","",ROW()-7)</f>
        <v/>
      </c>
      <c r="J39" s="9" t="str">
        <f aca="false">IF($H39="","",$H39*$I39)</f>
        <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87</v>
      </c>
      <c r="B1" s="10"/>
      <c r="C1" s="10"/>
      <c r="D1" s="10"/>
      <c r="E1" s="10"/>
      <c r="F1" s="10"/>
      <c r="G1" s="10"/>
      <c r="H1" s="10"/>
      <c r="I1" s="10"/>
      <c r="J1" s="10"/>
      <c r="K1" s="10"/>
      <c r="L1" s="10"/>
      <c r="M1" s="10"/>
      <c r="N1" s="10"/>
    </row>
    <row r="3" customFormat="false" ht="15" hidden="false" customHeight="true" outlineLevel="0" collapsed="false">
      <c r="B3" s="11" t="s">
        <v>28</v>
      </c>
      <c r="C3" s="11"/>
      <c r="D3" s="12" t="n">
        <f aca="false">SUM($J$8:$J$407)</f>
        <v>0</v>
      </c>
    </row>
    <row r="4" customFormat="false" ht="15" hidden="false" customHeight="true" outlineLevel="0" collapsed="false">
      <c r="B4" s="11" t="s">
        <v>29</v>
      </c>
      <c r="C4" s="11"/>
      <c r="D4" s="12" t="n">
        <f aca="false">SUMIF($L$8:$L$407,"Đã chuyển khoản",$J$8:$J$407)</f>
        <v>0</v>
      </c>
    </row>
    <row r="5" customFormat="false" ht="15" hidden="false" customHeight="true" outlineLevel="0" collapsed="false">
      <c r="B5" s="11" t="s">
        <v>30</v>
      </c>
      <c r="C5" s="11"/>
      <c r="D5" s="12" t="n">
        <f aca="false">SUMIF($L$8:$L$407,"Chưa chuyển khoản",$J$8:$J$407)</f>
        <v>0</v>
      </c>
    </row>
    <row r="6" customFormat="false" ht="15" hidden="false" customHeight="true" outlineLevel="0" collapsed="false">
      <c r="P6" s="13" t="s">
        <v>31</v>
      </c>
      <c r="Q6" s="13"/>
    </row>
    <row r="7" customFormat="false" ht="30" hidden="false" customHeight="true" outlineLevel="0" collapsed="false">
      <c r="A7" s="14" t="s">
        <v>32</v>
      </c>
      <c r="B7" s="14" t="s">
        <v>33</v>
      </c>
      <c r="C7" s="14" t="s">
        <v>34</v>
      </c>
      <c r="D7" s="14" t="s">
        <v>35</v>
      </c>
      <c r="E7" s="14" t="s">
        <v>36</v>
      </c>
      <c r="F7" s="14" t="s">
        <v>37</v>
      </c>
      <c r="G7" s="14" t="s">
        <v>38</v>
      </c>
      <c r="H7" s="14" t="s">
        <v>39</v>
      </c>
      <c r="I7" s="14" t="s">
        <v>40</v>
      </c>
      <c r="J7" s="14" t="s">
        <v>41</v>
      </c>
      <c r="K7" s="14" t="s">
        <v>42</v>
      </c>
      <c r="L7" s="14" t="s">
        <v>43</v>
      </c>
      <c r="M7" s="14" t="s">
        <v>44</v>
      </c>
      <c r="N7" s="14" t="s">
        <v>45</v>
      </c>
      <c r="P7" s="14" t="s">
        <v>46</v>
      </c>
      <c r="Q7" s="14" t="s">
        <v>47</v>
      </c>
    </row>
    <row r="8" customFormat="false" ht="15" hidden="false" customHeight="false" outlineLevel="0" collapsed="false">
      <c r="A8" s="4" t="str">
        <f aca="false">IF($B8="","",ROW()-7)</f>
        <v/>
      </c>
      <c r="J8" s="9" t="str">
        <f aca="false">IF($H8="","",$H8*$I8)</f>
        <v/>
      </c>
      <c r="P8" s="18" t="n">
        <v>46357</v>
      </c>
      <c r="Q8" s="19" t="n">
        <f aca="false">SUMIF($B$8:$B$407,$P8,$J$8:$J$407)</f>
        <v>0</v>
      </c>
    </row>
    <row r="9" customFormat="false" ht="15" hidden="false" customHeight="false" outlineLevel="0" collapsed="false">
      <c r="A9" s="4" t="str">
        <f aca="false">IF($B9="","",ROW()-7)</f>
        <v/>
      </c>
      <c r="J9" s="9" t="str">
        <f aca="false">IF($H9="","",$H9*$I9)</f>
        <v/>
      </c>
      <c r="P9" s="18" t="n">
        <v>46358</v>
      </c>
      <c r="Q9" s="19" t="n">
        <f aca="false">SUMIF($B$8:$B$407,$P9,$J$8:$J$407)</f>
        <v>0</v>
      </c>
    </row>
    <row r="10" customFormat="false" ht="15" hidden="false" customHeight="false" outlineLevel="0" collapsed="false">
      <c r="A10" s="4" t="str">
        <f aca="false">IF($B10="","",ROW()-7)</f>
        <v/>
      </c>
      <c r="J10" s="9" t="str">
        <f aca="false">IF($H10="","",$H10*$I10)</f>
        <v/>
      </c>
      <c r="P10" s="18" t="n">
        <v>46359</v>
      </c>
      <c r="Q10" s="19" t="n">
        <f aca="false">SUMIF($B$8:$B$407,$P10,$J$8:$J$407)</f>
        <v>0</v>
      </c>
    </row>
    <row r="11" customFormat="false" ht="15" hidden="false" customHeight="false" outlineLevel="0" collapsed="false">
      <c r="A11" s="4" t="str">
        <f aca="false">IF($B11="","",ROW()-7)</f>
        <v/>
      </c>
      <c r="J11" s="9" t="str">
        <f aca="false">IF($H11="","",$H11*$I11)</f>
        <v/>
      </c>
      <c r="P11" s="18" t="n">
        <v>46360</v>
      </c>
      <c r="Q11" s="19" t="n">
        <f aca="false">SUMIF($B$8:$B$407,$P11,$J$8:$J$407)</f>
        <v>0</v>
      </c>
    </row>
    <row r="12" customFormat="false" ht="15" hidden="false" customHeight="false" outlineLevel="0" collapsed="false">
      <c r="A12" s="4" t="str">
        <f aca="false">IF($B12="","",ROW()-7)</f>
        <v/>
      </c>
      <c r="J12" s="9" t="str">
        <f aca="false">IF($H12="","",$H12*$I12)</f>
        <v/>
      </c>
      <c r="P12" s="18" t="n">
        <v>46361</v>
      </c>
      <c r="Q12" s="19" t="n">
        <f aca="false">SUMIF($B$8:$B$407,$P12,$J$8:$J$407)</f>
        <v>0</v>
      </c>
    </row>
    <row r="13" customFormat="false" ht="15" hidden="false" customHeight="false" outlineLevel="0" collapsed="false">
      <c r="A13" s="4" t="str">
        <f aca="false">IF($B13="","",ROW()-7)</f>
        <v/>
      </c>
      <c r="J13" s="9" t="str">
        <f aca="false">IF($H13="","",$H13*$I13)</f>
        <v/>
      </c>
      <c r="P13" s="18" t="n">
        <v>46362</v>
      </c>
      <c r="Q13" s="19" t="n">
        <f aca="false">SUMIF($B$8:$B$407,$P13,$J$8:$J$407)</f>
        <v>0</v>
      </c>
    </row>
    <row r="14" customFormat="false" ht="15" hidden="false" customHeight="false" outlineLevel="0" collapsed="false">
      <c r="A14" s="4" t="str">
        <f aca="false">IF($B14="","",ROW()-7)</f>
        <v/>
      </c>
      <c r="J14" s="9" t="str">
        <f aca="false">IF($H14="","",$H14*$I14)</f>
        <v/>
      </c>
      <c r="P14" s="18" t="n">
        <v>46363</v>
      </c>
      <c r="Q14" s="19" t="n">
        <f aca="false">SUMIF($B$8:$B$407,$P14,$J$8:$J$407)</f>
        <v>0</v>
      </c>
    </row>
    <row r="15" customFormat="false" ht="15" hidden="false" customHeight="false" outlineLevel="0" collapsed="false">
      <c r="A15" s="4" t="str">
        <f aca="false">IF($B15="","",ROW()-7)</f>
        <v/>
      </c>
      <c r="J15" s="9" t="str">
        <f aca="false">IF($H15="","",$H15*$I15)</f>
        <v/>
      </c>
      <c r="P15" s="18" t="n">
        <v>46364</v>
      </c>
      <c r="Q15" s="19" t="n">
        <f aca="false">SUMIF($B$8:$B$407,$P15,$J$8:$J$407)</f>
        <v>0</v>
      </c>
    </row>
    <row r="16" customFormat="false" ht="15" hidden="false" customHeight="false" outlineLevel="0" collapsed="false">
      <c r="A16" s="4" t="str">
        <f aca="false">IF($B16="","",ROW()-7)</f>
        <v/>
      </c>
      <c r="J16" s="9" t="str">
        <f aca="false">IF($H16="","",$H16*$I16)</f>
        <v/>
      </c>
      <c r="P16" s="18" t="n">
        <v>46365</v>
      </c>
      <c r="Q16" s="19" t="n">
        <f aca="false">SUMIF($B$8:$B$407,$P16,$J$8:$J$407)</f>
        <v>0</v>
      </c>
    </row>
    <row r="17" customFormat="false" ht="15" hidden="false" customHeight="false" outlineLevel="0" collapsed="false">
      <c r="A17" s="4" t="str">
        <f aca="false">IF($B17="","",ROW()-7)</f>
        <v/>
      </c>
      <c r="J17" s="9" t="str">
        <f aca="false">IF($H17="","",$H17*$I17)</f>
        <v/>
      </c>
      <c r="P17" s="18" t="n">
        <v>46366</v>
      </c>
      <c r="Q17" s="19" t="n">
        <f aca="false">SUMIF($B$8:$B$407,$P17,$J$8:$J$407)</f>
        <v>0</v>
      </c>
    </row>
    <row r="18" customFormat="false" ht="15" hidden="false" customHeight="false" outlineLevel="0" collapsed="false">
      <c r="A18" s="4" t="str">
        <f aca="false">IF($B18="","",ROW()-7)</f>
        <v/>
      </c>
      <c r="J18" s="9" t="str">
        <f aca="false">IF($H18="","",$H18*$I18)</f>
        <v/>
      </c>
      <c r="P18" s="18" t="n">
        <v>46367</v>
      </c>
      <c r="Q18" s="19" t="n">
        <f aca="false">SUMIF($B$8:$B$407,$P18,$J$8:$J$407)</f>
        <v>0</v>
      </c>
    </row>
    <row r="19" customFormat="false" ht="15" hidden="false" customHeight="false" outlineLevel="0" collapsed="false">
      <c r="A19" s="4" t="str">
        <f aca="false">IF($B19="","",ROW()-7)</f>
        <v/>
      </c>
      <c r="J19" s="9" t="str">
        <f aca="false">IF($H19="","",$H19*$I19)</f>
        <v/>
      </c>
      <c r="P19" s="18" t="n">
        <v>46368</v>
      </c>
      <c r="Q19" s="19" t="n">
        <f aca="false">SUMIF($B$8:$B$407,$P19,$J$8:$J$407)</f>
        <v>0</v>
      </c>
    </row>
    <row r="20" customFormat="false" ht="15" hidden="false" customHeight="false" outlineLevel="0" collapsed="false">
      <c r="A20" s="4" t="str">
        <f aca="false">IF($B20="","",ROW()-7)</f>
        <v/>
      </c>
      <c r="J20" s="9" t="str">
        <f aca="false">IF($H20="","",$H20*$I20)</f>
        <v/>
      </c>
      <c r="P20" s="18" t="n">
        <v>46369</v>
      </c>
      <c r="Q20" s="19" t="n">
        <f aca="false">SUMIF($B$8:$B$407,$P20,$J$8:$J$407)</f>
        <v>0</v>
      </c>
    </row>
    <row r="21" customFormat="false" ht="15" hidden="false" customHeight="false" outlineLevel="0" collapsed="false">
      <c r="A21" s="4" t="str">
        <f aca="false">IF($B21="","",ROW()-7)</f>
        <v/>
      </c>
      <c r="J21" s="9" t="str">
        <f aca="false">IF($H21="","",$H21*$I21)</f>
        <v/>
      </c>
      <c r="P21" s="18" t="n">
        <v>46370</v>
      </c>
      <c r="Q21" s="19" t="n">
        <f aca="false">SUMIF($B$8:$B$407,$P21,$J$8:$J$407)</f>
        <v>0</v>
      </c>
    </row>
    <row r="22" customFormat="false" ht="15" hidden="false" customHeight="false" outlineLevel="0" collapsed="false">
      <c r="A22" s="4" t="str">
        <f aca="false">IF($B22="","",ROW()-7)</f>
        <v/>
      </c>
      <c r="J22" s="9" t="str">
        <f aca="false">IF($H22="","",$H22*$I22)</f>
        <v/>
      </c>
      <c r="P22" s="18" t="n">
        <v>46371</v>
      </c>
      <c r="Q22" s="19" t="n">
        <f aca="false">SUMIF($B$8:$B$407,$P22,$J$8:$J$407)</f>
        <v>0</v>
      </c>
    </row>
    <row r="23" customFormat="false" ht="15" hidden="false" customHeight="false" outlineLevel="0" collapsed="false">
      <c r="A23" s="4" t="str">
        <f aca="false">IF($B23="","",ROW()-7)</f>
        <v/>
      </c>
      <c r="J23" s="9" t="str">
        <f aca="false">IF($H23="","",$H23*$I23)</f>
        <v/>
      </c>
      <c r="P23" s="18" t="n">
        <v>46372</v>
      </c>
      <c r="Q23" s="19" t="n">
        <f aca="false">SUMIF($B$8:$B$407,$P23,$J$8:$J$407)</f>
        <v>0</v>
      </c>
    </row>
    <row r="24" customFormat="false" ht="15" hidden="false" customHeight="false" outlineLevel="0" collapsed="false">
      <c r="A24" s="4" t="str">
        <f aca="false">IF($B24="","",ROW()-7)</f>
        <v/>
      </c>
      <c r="J24" s="9" t="str">
        <f aca="false">IF($H24="","",$H24*$I24)</f>
        <v/>
      </c>
      <c r="P24" s="18" t="n">
        <v>46373</v>
      </c>
      <c r="Q24" s="19" t="n">
        <f aca="false">SUMIF($B$8:$B$407,$P24,$J$8:$J$407)</f>
        <v>0</v>
      </c>
    </row>
    <row r="25" customFormat="false" ht="15" hidden="false" customHeight="false" outlineLevel="0" collapsed="false">
      <c r="A25" s="4" t="str">
        <f aca="false">IF($B25="","",ROW()-7)</f>
        <v/>
      </c>
      <c r="J25" s="9" t="str">
        <f aca="false">IF($H25="","",$H25*$I25)</f>
        <v/>
      </c>
      <c r="P25" s="18" t="n">
        <v>46374</v>
      </c>
      <c r="Q25" s="19" t="n">
        <f aca="false">SUMIF($B$8:$B$407,$P25,$J$8:$J$407)</f>
        <v>0</v>
      </c>
    </row>
    <row r="26" customFormat="false" ht="15" hidden="false" customHeight="false" outlineLevel="0" collapsed="false">
      <c r="A26" s="4" t="str">
        <f aca="false">IF($B26="","",ROW()-7)</f>
        <v/>
      </c>
      <c r="J26" s="9" t="str">
        <f aca="false">IF($H26="","",$H26*$I26)</f>
        <v/>
      </c>
      <c r="P26" s="18" t="n">
        <v>46375</v>
      </c>
      <c r="Q26" s="19" t="n">
        <f aca="false">SUMIF($B$8:$B$407,$P26,$J$8:$J$407)</f>
        <v>0</v>
      </c>
    </row>
    <row r="27" customFormat="false" ht="15" hidden="false" customHeight="false" outlineLevel="0" collapsed="false">
      <c r="A27" s="4" t="str">
        <f aca="false">IF($B27="","",ROW()-7)</f>
        <v/>
      </c>
      <c r="J27" s="9" t="str">
        <f aca="false">IF($H27="","",$H27*$I27)</f>
        <v/>
      </c>
      <c r="P27" s="18" t="n">
        <v>46376</v>
      </c>
      <c r="Q27" s="19" t="n">
        <f aca="false">SUMIF($B$8:$B$407,$P27,$J$8:$J$407)</f>
        <v>0</v>
      </c>
    </row>
    <row r="28" customFormat="false" ht="15" hidden="false" customHeight="false" outlineLevel="0" collapsed="false">
      <c r="A28" s="4" t="str">
        <f aca="false">IF($B28="","",ROW()-7)</f>
        <v/>
      </c>
      <c r="J28" s="9" t="str">
        <f aca="false">IF($H28="","",$H28*$I28)</f>
        <v/>
      </c>
      <c r="P28" s="18" t="n">
        <v>46377</v>
      </c>
      <c r="Q28" s="19" t="n">
        <f aca="false">SUMIF($B$8:$B$407,$P28,$J$8:$J$407)</f>
        <v>0</v>
      </c>
    </row>
    <row r="29" customFormat="false" ht="15" hidden="false" customHeight="false" outlineLevel="0" collapsed="false">
      <c r="A29" s="4" t="str">
        <f aca="false">IF($B29="","",ROW()-7)</f>
        <v/>
      </c>
      <c r="J29" s="9" t="str">
        <f aca="false">IF($H29="","",$H29*$I29)</f>
        <v/>
      </c>
      <c r="P29" s="18" t="n">
        <v>46378</v>
      </c>
      <c r="Q29" s="19" t="n">
        <f aca="false">SUMIF($B$8:$B$407,$P29,$J$8:$J$407)</f>
        <v>0</v>
      </c>
    </row>
    <row r="30" customFormat="false" ht="15" hidden="false" customHeight="false" outlineLevel="0" collapsed="false">
      <c r="A30" s="4" t="str">
        <f aca="false">IF($B30="","",ROW()-7)</f>
        <v/>
      </c>
      <c r="J30" s="9" t="str">
        <f aca="false">IF($H30="","",$H30*$I30)</f>
        <v/>
      </c>
      <c r="P30" s="18" t="n">
        <v>46379</v>
      </c>
      <c r="Q30" s="19" t="n">
        <f aca="false">SUMIF($B$8:$B$407,$P30,$J$8:$J$407)</f>
        <v>0</v>
      </c>
    </row>
    <row r="31" customFormat="false" ht="15" hidden="false" customHeight="false" outlineLevel="0" collapsed="false">
      <c r="A31" s="4" t="str">
        <f aca="false">IF($B31="","",ROW()-7)</f>
        <v/>
      </c>
      <c r="J31" s="9" t="str">
        <f aca="false">IF($H31="","",$H31*$I31)</f>
        <v/>
      </c>
      <c r="P31" s="18" t="n">
        <v>46380</v>
      </c>
      <c r="Q31" s="19" t="n">
        <f aca="false">SUMIF($B$8:$B$407,$P31,$J$8:$J$407)</f>
        <v>0</v>
      </c>
    </row>
    <row r="32" customFormat="false" ht="15" hidden="false" customHeight="false" outlineLevel="0" collapsed="false">
      <c r="A32" s="4" t="str">
        <f aca="false">IF($B32="","",ROW()-7)</f>
        <v/>
      </c>
      <c r="J32" s="9" t="str">
        <f aca="false">IF($H32="","",$H32*$I32)</f>
        <v/>
      </c>
      <c r="P32" s="18" t="n">
        <v>46381</v>
      </c>
      <c r="Q32" s="19" t="n">
        <f aca="false">SUMIF($B$8:$B$407,$P32,$J$8:$J$407)</f>
        <v>0</v>
      </c>
    </row>
    <row r="33" customFormat="false" ht="15" hidden="false" customHeight="false" outlineLevel="0" collapsed="false">
      <c r="A33" s="4" t="str">
        <f aca="false">IF($B33="","",ROW()-7)</f>
        <v/>
      </c>
      <c r="J33" s="9" t="str">
        <f aca="false">IF($H33="","",$H33*$I33)</f>
        <v/>
      </c>
      <c r="P33" s="18" t="n">
        <v>46382</v>
      </c>
      <c r="Q33" s="19" t="n">
        <f aca="false">SUMIF($B$8:$B$407,$P33,$J$8:$J$407)</f>
        <v>0</v>
      </c>
    </row>
    <row r="34" customFormat="false" ht="15" hidden="false" customHeight="false" outlineLevel="0" collapsed="false">
      <c r="A34" s="4" t="str">
        <f aca="false">IF($B34="","",ROW()-7)</f>
        <v/>
      </c>
      <c r="J34" s="9" t="str">
        <f aca="false">IF($H34="","",$H34*$I34)</f>
        <v/>
      </c>
      <c r="P34" s="18" t="n">
        <v>46383</v>
      </c>
      <c r="Q34" s="19" t="n">
        <f aca="false">SUMIF($B$8:$B$407,$P34,$J$8:$J$407)</f>
        <v>0</v>
      </c>
    </row>
    <row r="35" customFormat="false" ht="15" hidden="false" customHeight="false" outlineLevel="0" collapsed="false">
      <c r="A35" s="4" t="str">
        <f aca="false">IF($B35="","",ROW()-7)</f>
        <v/>
      </c>
      <c r="J35" s="9" t="str">
        <f aca="false">IF($H35="","",$H35*$I35)</f>
        <v/>
      </c>
      <c r="P35" s="18" t="n">
        <v>46384</v>
      </c>
      <c r="Q35" s="19" t="n">
        <f aca="false">SUMIF($B$8:$B$407,$P35,$J$8:$J$407)</f>
        <v>0</v>
      </c>
    </row>
    <row r="36" customFormat="false" ht="15" hidden="false" customHeight="false" outlineLevel="0" collapsed="false">
      <c r="A36" s="4" t="str">
        <f aca="false">IF($B36="","",ROW()-7)</f>
        <v/>
      </c>
      <c r="J36" s="9" t="str">
        <f aca="false">IF($H36="","",$H36*$I36)</f>
        <v/>
      </c>
      <c r="P36" s="18" t="n">
        <v>46385</v>
      </c>
      <c r="Q36" s="19" t="n">
        <f aca="false">SUMIF($B$8:$B$407,$P36,$J$8:$J$407)</f>
        <v>0</v>
      </c>
    </row>
    <row r="37" customFormat="false" ht="15" hidden="false" customHeight="false" outlineLevel="0" collapsed="false">
      <c r="A37" s="4" t="str">
        <f aca="false">IF($B37="","",ROW()-7)</f>
        <v/>
      </c>
      <c r="J37" s="9" t="str">
        <f aca="false">IF($H37="","",$H37*$I37)</f>
        <v/>
      </c>
      <c r="P37" s="18" t="n">
        <v>46386</v>
      </c>
      <c r="Q37" s="19" t="n">
        <f aca="false">SUMIF($B$8:$B$407,$P37,$J$8:$J$407)</f>
        <v>0</v>
      </c>
    </row>
    <row r="38" customFormat="false" ht="15" hidden="false" customHeight="false" outlineLevel="0" collapsed="false">
      <c r="A38" s="4" t="str">
        <f aca="false">IF($B38="","",ROW()-7)</f>
        <v/>
      </c>
      <c r="J38" s="9" t="str">
        <f aca="false">IF($H38="","",$H38*$I38)</f>
        <v/>
      </c>
      <c r="P38" s="18" t="n">
        <v>46387</v>
      </c>
      <c r="Q38" s="19" t="n">
        <f aca="false">SUMIF($B$8:$B$407,$P38,$J$8:$J$407)</f>
        <v>0</v>
      </c>
    </row>
    <row r="39" customFormat="false" ht="15" hidden="false" customHeight="false" outlineLevel="0" collapsed="false">
      <c r="A39" s="4" t="str">
        <f aca="false">IF($B39="","",ROW()-7)</f>
        <v/>
      </c>
      <c r="J39" s="9" t="str">
        <f aca="false">IF($H39="","",$H39*$I39)</f>
        <v/>
      </c>
      <c r="P39" s="20" t="s">
        <v>72</v>
      </c>
      <c r="Q39" s="21" t="n">
        <f aca="false">SUM($Q$8:$Q$38)</f>
        <v>0</v>
      </c>
    </row>
    <row r="40" customFormat="false" ht="15" hidden="false" customHeight="false" outlineLevel="0" collapsed="false">
      <c r="A40" s="4" t="str">
        <f aca="false">IF($B40="","",ROW()-7)</f>
        <v/>
      </c>
      <c r="J40" s="9" t="str">
        <f aca="false">IF($H40="","",$H40*$I40)</f>
        <v/>
      </c>
    </row>
    <row r="41" customFormat="false" ht="15" hidden="false" customHeight="false" outlineLevel="0" collapsed="false">
      <c r="A41" s="4" t="str">
        <f aca="false">IF($B41="","",ROW()-7)</f>
        <v/>
      </c>
      <c r="J41" s="9" t="str">
        <f aca="false">IF($H41="","",$H41*$I41)</f>
        <v/>
      </c>
    </row>
    <row r="42" customFormat="false" ht="15" hidden="false" customHeight="false" outlineLevel="0" collapsed="false">
      <c r="A42" s="4" t="str">
        <f aca="false">IF($B42="","",ROW()-7)</f>
        <v/>
      </c>
      <c r="J42" s="9" t="str">
        <f aca="false">IF($H42="","",$H42*$I42)</f>
        <v/>
      </c>
    </row>
    <row r="43" customFormat="false" ht="15" hidden="false" customHeight="false" outlineLevel="0" collapsed="false">
      <c r="A43" s="4" t="str">
        <f aca="false">IF($B43="","",ROW()-7)</f>
        <v/>
      </c>
      <c r="J43" s="9" t="str">
        <f aca="false">IF($H43="","",$H43*$I43)</f>
        <v/>
      </c>
    </row>
    <row r="44" customFormat="false" ht="15" hidden="false" customHeight="false" outlineLevel="0" collapsed="false">
      <c r="A44" s="4" t="str">
        <f aca="false">IF($B44="","",ROW()-7)</f>
        <v/>
      </c>
      <c r="J44" s="9" t="str">
        <f aca="false">IF($H44="","",$H44*$I44)</f>
        <v/>
      </c>
    </row>
    <row r="45" customFormat="false" ht="15" hidden="false" customHeight="false" outlineLevel="0" collapsed="false">
      <c r="A45" s="4" t="str">
        <f aca="false">IF($B45="","",ROW()-7)</f>
        <v/>
      </c>
      <c r="J45" s="9" t="str">
        <f aca="false">IF($H45="","",$H45*$I45)</f>
        <v/>
      </c>
    </row>
    <row r="46" customFormat="false" ht="15" hidden="false" customHeight="false" outlineLevel="0" collapsed="false">
      <c r="A46" s="4" t="str">
        <f aca="false">IF($B46="","",ROW()-7)</f>
        <v/>
      </c>
      <c r="J46" s="9" t="str">
        <f aca="false">IF($H46="","",$H46*$I46)</f>
        <v/>
      </c>
    </row>
    <row r="47" customFormat="false" ht="15" hidden="false" customHeight="false" outlineLevel="0" collapsed="false">
      <c r="A47" s="4" t="str">
        <f aca="false">IF($B47="","",ROW()-7)</f>
        <v/>
      </c>
      <c r="J47" s="9" t="str">
        <f aca="false">IF($H47="","",$H47*$I47)</f>
        <v/>
      </c>
    </row>
    <row r="48" customFormat="false" ht="15" hidden="false" customHeight="false" outlineLevel="0" collapsed="false">
      <c r="A48" s="4" t="str">
        <f aca="false">IF($B48="","",ROW()-7)</f>
        <v/>
      </c>
      <c r="J48" s="9" t="str">
        <f aca="false">IF($H48="","",$H48*$I48)</f>
        <v/>
      </c>
    </row>
    <row r="49" customFormat="false" ht="15" hidden="false" customHeight="false" outlineLevel="0" collapsed="false">
      <c r="A49" s="4" t="str">
        <f aca="false">IF($B49="","",ROW()-7)</f>
        <v/>
      </c>
      <c r="J49" s="9" t="str">
        <f aca="false">IF($H49="","",$H49*$I49)</f>
        <v/>
      </c>
    </row>
    <row r="50" customFormat="false" ht="15" hidden="false" customHeight="false" outlineLevel="0" collapsed="false">
      <c r="A50" s="4" t="str">
        <f aca="false">IF($B50="","",ROW()-7)</f>
        <v/>
      </c>
      <c r="J50" s="9" t="str">
        <f aca="false">IF($H50="","",$H50*$I50)</f>
        <v/>
      </c>
    </row>
    <row r="51" customFormat="false" ht="15" hidden="false" customHeight="false" outlineLevel="0" collapsed="false">
      <c r="A51" s="4" t="str">
        <f aca="false">IF($B51="","",ROW()-7)</f>
        <v/>
      </c>
      <c r="J51" s="9" t="str">
        <f aca="false">IF($H51="","",$H51*$I51)</f>
        <v/>
      </c>
    </row>
    <row r="52" customFormat="false" ht="15" hidden="false" customHeight="false" outlineLevel="0" collapsed="false">
      <c r="A52" s="4" t="str">
        <f aca="false">IF($B52="","",ROW()-7)</f>
        <v/>
      </c>
      <c r="J52" s="9" t="str">
        <f aca="false">IF($H52="","",$H52*$I52)</f>
        <v/>
      </c>
    </row>
    <row r="53" customFormat="false" ht="15" hidden="false" customHeight="false" outlineLevel="0" collapsed="false">
      <c r="A53" s="4" t="str">
        <f aca="false">IF($B53="","",ROW()-7)</f>
        <v/>
      </c>
      <c r="J53" s="9" t="str">
        <f aca="false">IF($H53="","",$H53*$I53)</f>
        <v/>
      </c>
    </row>
    <row r="54" customFormat="false" ht="15" hidden="false" customHeight="false" outlineLevel="0" collapsed="false">
      <c r="A54" s="4" t="str">
        <f aca="false">IF($B54="","",ROW()-7)</f>
        <v/>
      </c>
      <c r="J54" s="9" t="str">
        <f aca="false">IF($H54="","",$H54*$I54)</f>
        <v/>
      </c>
    </row>
    <row r="55" customFormat="false" ht="15" hidden="false" customHeight="false" outlineLevel="0" collapsed="false">
      <c r="A55" s="4" t="str">
        <f aca="false">IF($B55="","",ROW()-7)</f>
        <v/>
      </c>
      <c r="J55" s="9" t="str">
        <f aca="false">IF($H55="","",$H55*$I55)</f>
        <v/>
      </c>
    </row>
    <row r="56" customFormat="false" ht="15" hidden="false" customHeight="false" outlineLevel="0" collapsed="false">
      <c r="A56" s="4" t="str">
        <f aca="false">IF($B56="","",ROW()-7)</f>
        <v/>
      </c>
      <c r="J56" s="9" t="str">
        <f aca="false">IF($H56="","",$H56*$I56)</f>
        <v/>
      </c>
    </row>
    <row r="57" customFormat="false" ht="15" hidden="false" customHeight="false" outlineLevel="0" collapsed="false">
      <c r="A57" s="4" t="str">
        <f aca="false">IF($B57="","",ROW()-7)</f>
        <v/>
      </c>
      <c r="J57" s="9" t="str">
        <f aca="false">IF($H57="","",$H57*$I57)</f>
        <v/>
      </c>
    </row>
    <row r="58" customFormat="false" ht="15" hidden="false" customHeight="false" outlineLevel="0" collapsed="false">
      <c r="A58" s="4" t="str">
        <f aca="false">IF($B58="","",ROW()-7)</f>
        <v/>
      </c>
      <c r="J58" s="9" t="str">
        <f aca="false">IF($H58="","",$H58*$I58)</f>
        <v/>
      </c>
    </row>
    <row r="59" customFormat="false" ht="15" hidden="false" customHeight="false" outlineLevel="0" collapsed="false">
      <c r="A59" s="4" t="str">
        <f aca="false">IF($B59="","",ROW()-7)</f>
        <v/>
      </c>
      <c r="J59" s="9" t="str">
        <f aca="false">IF($H59="","",$H59*$I59)</f>
        <v/>
      </c>
    </row>
    <row r="60" customFormat="false" ht="15" hidden="false" customHeight="false" outlineLevel="0" collapsed="false">
      <c r="A60" s="4" t="str">
        <f aca="false">IF($B60="","",ROW()-7)</f>
        <v/>
      </c>
      <c r="J60" s="9" t="str">
        <f aca="false">IF($H60="","",$H60*$I60)</f>
        <v/>
      </c>
    </row>
    <row r="61" customFormat="false" ht="15" hidden="false" customHeight="false" outlineLevel="0" collapsed="false">
      <c r="A61" s="4" t="str">
        <f aca="false">IF($B61="","",ROW()-7)</f>
        <v/>
      </c>
      <c r="J61" s="9" t="str">
        <f aca="false">IF($H61="","",$H61*$I61)</f>
        <v/>
      </c>
    </row>
    <row r="62" customFormat="false" ht="15" hidden="false" customHeight="false" outlineLevel="0" collapsed="false">
      <c r="A62" s="4" t="str">
        <f aca="false">IF($B62="","",ROW()-7)</f>
        <v/>
      </c>
      <c r="J62" s="9" t="str">
        <f aca="false">IF($H62="","",$H62*$I62)</f>
        <v/>
      </c>
    </row>
    <row r="63" customFormat="false" ht="15" hidden="false" customHeight="false" outlineLevel="0" collapsed="false">
      <c r="A63" s="4" t="str">
        <f aca="false">IF($B63="","",ROW()-7)</f>
        <v/>
      </c>
      <c r="J63" s="9" t="str">
        <f aca="false">IF($H63="","",$H63*$I63)</f>
        <v/>
      </c>
    </row>
    <row r="64" customFormat="false" ht="15" hidden="false" customHeight="false" outlineLevel="0" collapsed="false">
      <c r="A64" s="4" t="str">
        <f aca="false">IF($B64="","",ROW()-7)</f>
        <v/>
      </c>
      <c r="J64" s="9" t="str">
        <f aca="false">IF($H64="","",$H64*$I64)</f>
        <v/>
      </c>
    </row>
    <row r="65" customFormat="false" ht="15" hidden="false" customHeight="false" outlineLevel="0" collapsed="false">
      <c r="A65" s="4" t="str">
        <f aca="false">IF($B65="","",ROW()-7)</f>
        <v/>
      </c>
      <c r="J65" s="9" t="str">
        <f aca="false">IF($H65="","",$H65*$I65)</f>
        <v/>
      </c>
    </row>
    <row r="66" customFormat="false" ht="15" hidden="false" customHeight="false" outlineLevel="0" collapsed="false">
      <c r="A66" s="4" t="str">
        <f aca="false">IF($B66="","",ROW()-7)</f>
        <v/>
      </c>
      <c r="J66" s="9" t="str">
        <f aca="false">IF($H66="","",$H66*$I66)</f>
        <v/>
      </c>
    </row>
    <row r="67" customFormat="false" ht="15" hidden="false" customHeight="false" outlineLevel="0" collapsed="false">
      <c r="A67" s="4" t="str">
        <f aca="false">IF($B67="","",ROW()-7)</f>
        <v/>
      </c>
      <c r="J67" s="9" t="str">
        <f aca="false">IF($H67="","",$H67*$I67)</f>
        <v/>
      </c>
    </row>
    <row r="68" customFormat="false" ht="15" hidden="false" customHeight="false" outlineLevel="0" collapsed="false">
      <c r="A68" s="4" t="str">
        <f aca="false">IF($B68="","",ROW()-7)</f>
        <v/>
      </c>
      <c r="J68" s="9" t="str">
        <f aca="false">IF($H68="","",$H68*$I68)</f>
        <v/>
      </c>
    </row>
    <row r="69" customFormat="false" ht="15" hidden="false" customHeight="false" outlineLevel="0" collapsed="false">
      <c r="A69" s="4" t="str">
        <f aca="false">IF($B69="","",ROW()-7)</f>
        <v/>
      </c>
      <c r="J69" s="9" t="str">
        <f aca="false">IF($H69="","",$H69*$I69)</f>
        <v/>
      </c>
    </row>
    <row r="70" customFormat="false" ht="15" hidden="false" customHeight="false" outlineLevel="0" collapsed="false">
      <c r="A70" s="4" t="str">
        <f aca="false">IF($B70="","",ROW()-7)</f>
        <v/>
      </c>
      <c r="J70" s="9" t="str">
        <f aca="false">IF($H70="","",$H70*$I70)</f>
        <v/>
      </c>
    </row>
    <row r="71" customFormat="false" ht="15" hidden="false" customHeight="false" outlineLevel="0" collapsed="false">
      <c r="A71" s="4" t="str">
        <f aca="false">IF($B71="","",ROW()-7)</f>
        <v/>
      </c>
      <c r="J71" s="9" t="str">
        <f aca="false">IF($H71="","",$H71*$I71)</f>
        <v/>
      </c>
    </row>
    <row r="72" customFormat="false" ht="15" hidden="false" customHeight="false" outlineLevel="0" collapsed="false">
      <c r="A72" s="4" t="str">
        <f aca="false">IF($B72="","",ROW()-7)</f>
        <v/>
      </c>
      <c r="J72" s="9" t="str">
        <f aca="false">IF($H72="","",$H72*$I72)</f>
        <v/>
      </c>
    </row>
    <row r="73" customFormat="false" ht="15" hidden="false" customHeight="false" outlineLevel="0" collapsed="false">
      <c r="A73" s="4" t="str">
        <f aca="false">IF($B73="","",ROW()-7)</f>
        <v/>
      </c>
      <c r="J73" s="9" t="str">
        <f aca="false">IF($H73="","",$H73*$I73)</f>
        <v/>
      </c>
    </row>
    <row r="74" customFormat="false" ht="15" hidden="false" customHeight="false" outlineLevel="0" collapsed="false">
      <c r="A74" s="4" t="str">
        <f aca="false">IF($B74="","",ROW()-7)</f>
        <v/>
      </c>
      <c r="J74" s="9" t="str">
        <f aca="false">IF($H74="","",$H74*$I74)</f>
        <v/>
      </c>
    </row>
    <row r="75" customFormat="false" ht="15" hidden="false" customHeight="false" outlineLevel="0" collapsed="false">
      <c r="A75" s="4" t="str">
        <f aca="false">IF($B75="","",ROW()-7)</f>
        <v/>
      </c>
      <c r="J75" s="9" t="str">
        <f aca="false">IF($H75="","",$H75*$I75)</f>
        <v/>
      </c>
    </row>
    <row r="76" customFormat="false" ht="15" hidden="false" customHeight="false" outlineLevel="0" collapsed="false">
      <c r="A76" s="4" t="str">
        <f aca="false">IF($B76="","",ROW()-7)</f>
        <v/>
      </c>
      <c r="J76" s="9" t="str">
        <f aca="false">IF($H76="","",$H76*$I76)</f>
        <v/>
      </c>
    </row>
    <row r="77" customFormat="false" ht="15" hidden="false" customHeight="false" outlineLevel="0" collapsed="false">
      <c r="A77" s="4" t="str">
        <f aca="false">IF($B77="","",ROW()-7)</f>
        <v/>
      </c>
      <c r="J77" s="9" t="str">
        <f aca="false">IF($H77="","",$H77*$I77)</f>
        <v/>
      </c>
    </row>
    <row r="78" customFormat="false" ht="15" hidden="false" customHeight="false" outlineLevel="0" collapsed="false">
      <c r="A78" s="4" t="str">
        <f aca="false">IF($B78="","",ROW()-7)</f>
        <v/>
      </c>
      <c r="J78" s="9" t="str">
        <f aca="false">IF($H78="","",$H78*$I78)</f>
        <v/>
      </c>
    </row>
    <row r="79" customFormat="false" ht="15" hidden="false" customHeight="false" outlineLevel="0" collapsed="false">
      <c r="A79" s="4" t="str">
        <f aca="false">IF($B79="","",ROW()-7)</f>
        <v/>
      </c>
      <c r="J79" s="9" t="str">
        <f aca="false">IF($H79="","",$H79*$I79)</f>
        <v/>
      </c>
    </row>
    <row r="80" customFormat="false" ht="15" hidden="false" customHeight="false" outlineLevel="0" collapsed="false">
      <c r="A80" s="4" t="str">
        <f aca="false">IF($B80="","",ROW()-7)</f>
        <v/>
      </c>
      <c r="J80" s="9" t="str">
        <f aca="false">IF($H80="","",$H80*$I80)</f>
        <v/>
      </c>
    </row>
    <row r="81" customFormat="false" ht="15" hidden="false" customHeight="false" outlineLevel="0" collapsed="false">
      <c r="A81" s="4" t="str">
        <f aca="false">IF($B81="","",ROW()-7)</f>
        <v/>
      </c>
      <c r="J81" s="9" t="str">
        <f aca="false">IF($H81="","",$H81*$I81)</f>
        <v/>
      </c>
    </row>
    <row r="82" customFormat="false" ht="15" hidden="false" customHeight="false" outlineLevel="0" collapsed="false">
      <c r="A82" s="4" t="str">
        <f aca="false">IF($B82="","",ROW()-7)</f>
        <v/>
      </c>
      <c r="J82" s="9" t="str">
        <f aca="false">IF($H82="","",$H82*$I82)</f>
        <v/>
      </c>
    </row>
    <row r="83" customFormat="false" ht="15" hidden="false" customHeight="false" outlineLevel="0" collapsed="false">
      <c r="A83" s="4" t="str">
        <f aca="false">IF($B83="","",ROW()-7)</f>
        <v/>
      </c>
      <c r="J83" s="9" t="str">
        <f aca="false">IF($H83="","",$H83*$I83)</f>
        <v/>
      </c>
    </row>
    <row r="84" customFormat="false" ht="15" hidden="false" customHeight="false" outlineLevel="0" collapsed="false">
      <c r="A84" s="4" t="str">
        <f aca="false">IF($B84="","",ROW()-7)</f>
        <v/>
      </c>
      <c r="J84" s="9" t="str">
        <f aca="false">IF($H84="","",$H84*$I84)</f>
        <v/>
      </c>
    </row>
    <row r="85" customFormat="false" ht="15" hidden="false" customHeight="false" outlineLevel="0" collapsed="false">
      <c r="A85" s="4" t="str">
        <f aca="false">IF($B85="","",ROW()-7)</f>
        <v/>
      </c>
      <c r="J85" s="9" t="str">
        <f aca="false">IF($H85="","",$H85*$I85)</f>
        <v/>
      </c>
    </row>
    <row r="86" customFormat="false" ht="15" hidden="false" customHeight="false" outlineLevel="0" collapsed="false">
      <c r="A86" s="4" t="str">
        <f aca="false">IF($B86="","",ROW()-7)</f>
        <v/>
      </c>
      <c r="J86" s="9" t="str">
        <f aca="false">IF($H86="","",$H86*$I86)</f>
        <v/>
      </c>
    </row>
    <row r="87" customFormat="false" ht="15" hidden="false" customHeight="false" outlineLevel="0" collapsed="false">
      <c r="A87" s="4" t="str">
        <f aca="false">IF($B87="","",ROW()-7)</f>
        <v/>
      </c>
      <c r="J87" s="9" t="str">
        <f aca="false">IF($H87="","",$H87*$I87)</f>
        <v/>
      </c>
    </row>
    <row r="88" customFormat="false" ht="15" hidden="false" customHeight="false" outlineLevel="0" collapsed="false">
      <c r="A88" s="4" t="str">
        <f aca="false">IF($B88="","",ROW()-7)</f>
        <v/>
      </c>
      <c r="J88" s="9" t="str">
        <f aca="false">IF($H88="","",$H88*$I88)</f>
        <v/>
      </c>
    </row>
    <row r="89" customFormat="false" ht="15" hidden="false" customHeight="false" outlineLevel="0" collapsed="false">
      <c r="A89" s="4" t="str">
        <f aca="false">IF($B89="","",ROW()-7)</f>
        <v/>
      </c>
      <c r="J89" s="9" t="str">
        <f aca="false">IF($H89="","",$H89*$I89)</f>
        <v/>
      </c>
    </row>
    <row r="90" customFormat="false" ht="15" hidden="false" customHeight="false" outlineLevel="0" collapsed="false">
      <c r="A90" s="4" t="str">
        <f aca="false">IF($B90="","",ROW()-7)</f>
        <v/>
      </c>
      <c r="J90" s="9" t="str">
        <f aca="false">IF($H90="","",$H90*$I90)</f>
        <v/>
      </c>
    </row>
    <row r="91" customFormat="false" ht="15" hidden="false" customHeight="false" outlineLevel="0" collapsed="false">
      <c r="A91" s="4" t="str">
        <f aca="false">IF($B91="","",ROW()-7)</f>
        <v/>
      </c>
      <c r="J91" s="9" t="str">
        <f aca="false">IF($H91="","",$H91*$I91)</f>
        <v/>
      </c>
    </row>
    <row r="92" customFormat="false" ht="15" hidden="false" customHeight="false" outlineLevel="0" collapsed="false">
      <c r="A92" s="4" t="str">
        <f aca="false">IF($B92="","",ROW()-7)</f>
        <v/>
      </c>
      <c r="J92" s="9" t="str">
        <f aca="false">IF($H92="","",$H92*$I92)</f>
        <v/>
      </c>
    </row>
    <row r="93" customFormat="false" ht="15" hidden="false" customHeight="false" outlineLevel="0" collapsed="false">
      <c r="A93" s="4" t="str">
        <f aca="false">IF($B93="","",ROW()-7)</f>
        <v/>
      </c>
      <c r="J93" s="9" t="str">
        <f aca="false">IF($H93="","",$H93*$I93)</f>
        <v/>
      </c>
    </row>
    <row r="94" customFormat="false" ht="15" hidden="false" customHeight="false" outlineLevel="0" collapsed="false">
      <c r="A94" s="4" t="str">
        <f aca="false">IF($B94="","",ROW()-7)</f>
        <v/>
      </c>
      <c r="J94" s="9" t="str">
        <f aca="false">IF($H94="","",$H94*$I94)</f>
        <v/>
      </c>
    </row>
    <row r="95" customFormat="false" ht="15" hidden="false" customHeight="false" outlineLevel="0" collapsed="false">
      <c r="A95" s="4" t="str">
        <f aca="false">IF($B95="","",ROW()-7)</f>
        <v/>
      </c>
      <c r="J95" s="9" t="str">
        <f aca="false">IF($H95="","",$H95*$I95)</f>
        <v/>
      </c>
    </row>
    <row r="96" customFormat="false" ht="15" hidden="false" customHeight="false" outlineLevel="0" collapsed="false">
      <c r="A96" s="4" t="str">
        <f aca="false">IF($B96="","",ROW()-7)</f>
        <v/>
      </c>
      <c r="J96" s="9" t="str">
        <f aca="false">IF($H96="","",$H96*$I96)</f>
        <v/>
      </c>
    </row>
    <row r="97" customFormat="false" ht="15" hidden="false" customHeight="false" outlineLevel="0" collapsed="false">
      <c r="A97" s="4" t="str">
        <f aca="false">IF($B97="","",ROW()-7)</f>
        <v/>
      </c>
      <c r="J97" s="9" t="str">
        <f aca="false">IF($H97="","",$H97*$I97)</f>
        <v/>
      </c>
    </row>
    <row r="98" customFormat="false" ht="15" hidden="false" customHeight="false" outlineLevel="0" collapsed="false">
      <c r="A98" s="4" t="str">
        <f aca="false">IF($B98="","",ROW()-7)</f>
        <v/>
      </c>
      <c r="J98" s="9" t="str">
        <f aca="false">IF($H98="","",$H98*$I98)</f>
        <v/>
      </c>
    </row>
    <row r="99" customFormat="false" ht="15" hidden="false" customHeight="false" outlineLevel="0" collapsed="false">
      <c r="A99" s="4" t="str">
        <f aca="false">IF($B99="","",ROW()-7)</f>
        <v/>
      </c>
      <c r="J99" s="9" t="str">
        <f aca="false">IF($H99="","",$H99*$I99)</f>
        <v/>
      </c>
    </row>
    <row r="100" customFormat="false" ht="15" hidden="false" customHeight="false" outlineLevel="0" collapsed="false">
      <c r="A100" s="4" t="str">
        <f aca="false">IF($B100="","",ROW()-7)</f>
        <v/>
      </c>
      <c r="J100" s="9" t="str">
        <f aca="false">IF($H100="","",$H100*$I100)</f>
        <v/>
      </c>
    </row>
    <row r="101" customFormat="false" ht="15" hidden="false" customHeight="false" outlineLevel="0" collapsed="false">
      <c r="A101" s="4" t="str">
        <f aca="false">IF($B101="","",ROW()-7)</f>
        <v/>
      </c>
      <c r="J101" s="9" t="str">
        <f aca="false">IF($H101="","",$H101*$I101)</f>
        <v/>
      </c>
    </row>
    <row r="102" customFormat="false" ht="15" hidden="false" customHeight="false" outlineLevel="0" collapsed="false">
      <c r="A102" s="4" t="str">
        <f aca="false">IF($B102="","",ROW()-7)</f>
        <v/>
      </c>
      <c r="J102" s="9" t="str">
        <f aca="false">IF($H102="","",$H102*$I102)</f>
        <v/>
      </c>
    </row>
    <row r="103" customFormat="false" ht="15" hidden="false" customHeight="false" outlineLevel="0" collapsed="false">
      <c r="A103" s="4" t="str">
        <f aca="false">IF($B103="","",ROW()-7)</f>
        <v/>
      </c>
      <c r="J103" s="9" t="str">
        <f aca="false">IF($H103="","",$H103*$I103)</f>
        <v/>
      </c>
    </row>
    <row r="104" customFormat="false" ht="15" hidden="false" customHeight="false" outlineLevel="0" collapsed="false">
      <c r="A104" s="4" t="str">
        <f aca="false">IF($B104="","",ROW()-7)</f>
        <v/>
      </c>
      <c r="J104" s="9" t="str">
        <f aca="false">IF($H104="","",$H104*$I104)</f>
        <v/>
      </c>
    </row>
    <row r="105" customFormat="false" ht="15" hidden="false" customHeight="false" outlineLevel="0" collapsed="false">
      <c r="A105" s="4" t="str">
        <f aca="false">IF($B105="","",ROW()-7)</f>
        <v/>
      </c>
      <c r="J105" s="9" t="str">
        <f aca="false">IF($H105="","",$H105*$I105)</f>
        <v/>
      </c>
    </row>
    <row r="106" customFormat="false" ht="15" hidden="false" customHeight="false" outlineLevel="0" collapsed="false">
      <c r="A106" s="4" t="str">
        <f aca="false">IF($B106="","",ROW()-7)</f>
        <v/>
      </c>
      <c r="J106" s="9" t="str">
        <f aca="false">IF($H106="","",$H106*$I106)</f>
        <v/>
      </c>
    </row>
    <row r="107" customFormat="false" ht="15" hidden="false" customHeight="false" outlineLevel="0" collapsed="false">
      <c r="A107" s="4" t="str">
        <f aca="false">IF($B107="","",ROW()-7)</f>
        <v/>
      </c>
      <c r="J107" s="9" t="str">
        <f aca="false">IF($H107="","",$H107*$I107)</f>
        <v/>
      </c>
    </row>
    <row r="108" customFormat="false" ht="15" hidden="false" customHeight="false" outlineLevel="0" collapsed="false">
      <c r="A108" s="4" t="str">
        <f aca="false">IF($B108="","",ROW()-7)</f>
        <v/>
      </c>
      <c r="J108" s="9" t="str">
        <f aca="false">IF($H108="","",$H108*$I108)</f>
        <v/>
      </c>
    </row>
    <row r="109" customFormat="false" ht="15" hidden="false" customHeight="false" outlineLevel="0" collapsed="false">
      <c r="A109" s="4" t="str">
        <f aca="false">IF($B109="","",ROW()-7)</f>
        <v/>
      </c>
      <c r="J109" s="9" t="str">
        <f aca="false">IF($H109="","",$H109*$I109)</f>
        <v/>
      </c>
    </row>
    <row r="110" customFormat="false" ht="15" hidden="false" customHeight="false" outlineLevel="0" collapsed="false">
      <c r="A110" s="4" t="str">
        <f aca="false">IF($B110="","",ROW()-7)</f>
        <v/>
      </c>
      <c r="J110" s="9" t="str">
        <f aca="false">IF($H110="","",$H110*$I110)</f>
        <v/>
      </c>
    </row>
    <row r="111" customFormat="false" ht="15" hidden="false" customHeight="false" outlineLevel="0" collapsed="false">
      <c r="A111" s="4" t="str">
        <f aca="false">IF($B111="","",ROW()-7)</f>
        <v/>
      </c>
      <c r="J111" s="9" t="str">
        <f aca="false">IF($H111="","",$H111*$I111)</f>
        <v/>
      </c>
    </row>
    <row r="112" customFormat="false" ht="15" hidden="false" customHeight="false" outlineLevel="0" collapsed="false">
      <c r="A112" s="4" t="str">
        <f aca="false">IF($B112="","",ROW()-7)</f>
        <v/>
      </c>
      <c r="J112" s="9" t="str">
        <f aca="false">IF($H112="","",$H112*$I112)</f>
        <v/>
      </c>
    </row>
    <row r="113" customFormat="false" ht="15" hidden="false" customHeight="false" outlineLevel="0" collapsed="false">
      <c r="A113" s="4" t="str">
        <f aca="false">IF($B113="","",ROW()-7)</f>
        <v/>
      </c>
      <c r="J113" s="9" t="str">
        <f aca="false">IF($H113="","",$H113*$I113)</f>
        <v/>
      </c>
    </row>
    <row r="114" customFormat="false" ht="15" hidden="false" customHeight="false" outlineLevel="0" collapsed="false">
      <c r="A114" s="4" t="str">
        <f aca="false">IF($B114="","",ROW()-7)</f>
        <v/>
      </c>
      <c r="J114" s="9" t="str">
        <f aca="false">IF($H114="","",$H114*$I114)</f>
        <v/>
      </c>
    </row>
    <row r="115" customFormat="false" ht="15" hidden="false" customHeight="false" outlineLevel="0" collapsed="false">
      <c r="A115" s="4" t="str">
        <f aca="false">IF($B115="","",ROW()-7)</f>
        <v/>
      </c>
      <c r="J115" s="9" t="str">
        <f aca="false">IF($H115="","",$H115*$I115)</f>
        <v/>
      </c>
    </row>
    <row r="116" customFormat="false" ht="15" hidden="false" customHeight="false" outlineLevel="0" collapsed="false">
      <c r="A116" s="4" t="str">
        <f aca="false">IF($B116="","",ROW()-7)</f>
        <v/>
      </c>
      <c r="J116" s="9" t="str">
        <f aca="false">IF($H116="","",$H116*$I116)</f>
        <v/>
      </c>
    </row>
    <row r="117" customFormat="false" ht="15" hidden="false" customHeight="false" outlineLevel="0" collapsed="false">
      <c r="A117" s="4" t="str">
        <f aca="false">IF($B117="","",ROW()-7)</f>
        <v/>
      </c>
      <c r="J117" s="9" t="str">
        <f aca="false">IF($H117="","",$H117*$I117)</f>
        <v/>
      </c>
    </row>
    <row r="118" customFormat="false" ht="15" hidden="false" customHeight="false" outlineLevel="0" collapsed="false">
      <c r="A118" s="4" t="str">
        <f aca="false">IF($B118="","",ROW()-7)</f>
        <v/>
      </c>
      <c r="J118" s="9" t="str">
        <f aca="false">IF($H118="","",$H118*$I118)</f>
        <v/>
      </c>
    </row>
    <row r="119" customFormat="false" ht="15" hidden="false" customHeight="false" outlineLevel="0" collapsed="false">
      <c r="A119" s="4" t="str">
        <f aca="false">IF($B119="","",ROW()-7)</f>
        <v/>
      </c>
      <c r="J119" s="9" t="str">
        <f aca="false">IF($H119="","",$H119*$I119)</f>
        <v/>
      </c>
    </row>
    <row r="120" customFormat="false" ht="15" hidden="false" customHeight="false" outlineLevel="0" collapsed="false">
      <c r="A120" s="4" t="str">
        <f aca="false">IF($B120="","",ROW()-7)</f>
        <v/>
      </c>
      <c r="J120" s="9" t="str">
        <f aca="false">IF($H120="","",$H120*$I120)</f>
        <v/>
      </c>
    </row>
    <row r="121" customFormat="false" ht="15" hidden="false" customHeight="false" outlineLevel="0" collapsed="false">
      <c r="A121" s="4" t="str">
        <f aca="false">IF($B121="","",ROW()-7)</f>
        <v/>
      </c>
      <c r="J121" s="9" t="str">
        <f aca="false">IF($H121="","",$H121*$I121)</f>
        <v/>
      </c>
    </row>
    <row r="122" customFormat="false" ht="15" hidden="false" customHeight="false" outlineLevel="0" collapsed="false">
      <c r="A122" s="4" t="str">
        <f aca="false">IF($B122="","",ROW()-7)</f>
        <v/>
      </c>
      <c r="J122" s="9" t="str">
        <f aca="false">IF($H122="","",$H122*$I122)</f>
        <v/>
      </c>
    </row>
    <row r="123" customFormat="false" ht="15" hidden="false" customHeight="false" outlineLevel="0" collapsed="false">
      <c r="A123" s="4" t="str">
        <f aca="false">IF($B123="","",ROW()-7)</f>
        <v/>
      </c>
      <c r="J123" s="9" t="str">
        <f aca="false">IF($H123="","",$H123*$I123)</f>
        <v/>
      </c>
    </row>
    <row r="124" customFormat="false" ht="15" hidden="false" customHeight="false" outlineLevel="0" collapsed="false">
      <c r="A124" s="4" t="str">
        <f aca="false">IF($B124="","",ROW()-7)</f>
        <v/>
      </c>
      <c r="J124" s="9" t="str">
        <f aca="false">IF($H124="","",$H124*$I124)</f>
        <v/>
      </c>
    </row>
    <row r="125" customFormat="false" ht="15" hidden="false" customHeight="false" outlineLevel="0" collapsed="false">
      <c r="A125" s="4" t="str">
        <f aca="false">IF($B125="","",ROW()-7)</f>
        <v/>
      </c>
      <c r="J125" s="9" t="str">
        <f aca="false">IF($H125="","",$H125*$I125)</f>
        <v/>
      </c>
    </row>
    <row r="126" customFormat="false" ht="15" hidden="false" customHeight="false" outlineLevel="0" collapsed="false">
      <c r="A126" s="4" t="str">
        <f aca="false">IF($B126="","",ROW()-7)</f>
        <v/>
      </c>
      <c r="J126" s="9" t="str">
        <f aca="false">IF($H126="","",$H126*$I126)</f>
        <v/>
      </c>
    </row>
    <row r="127" customFormat="false" ht="15" hidden="false" customHeight="false" outlineLevel="0" collapsed="false">
      <c r="A127" s="4" t="str">
        <f aca="false">IF($B127="","",ROW()-7)</f>
        <v/>
      </c>
      <c r="J127" s="9" t="str">
        <f aca="false">IF($H127="","",$H127*$I127)</f>
        <v/>
      </c>
    </row>
    <row r="128" customFormat="false" ht="15" hidden="false" customHeight="false" outlineLevel="0" collapsed="false">
      <c r="A128" s="4" t="str">
        <f aca="false">IF($B128="","",ROW()-7)</f>
        <v/>
      </c>
      <c r="J128" s="9" t="str">
        <f aca="false">IF($H128="","",$H128*$I128)</f>
        <v/>
      </c>
    </row>
    <row r="129" customFormat="false" ht="15" hidden="false" customHeight="false" outlineLevel="0" collapsed="false">
      <c r="A129" s="4" t="str">
        <f aca="false">IF($B129="","",ROW()-7)</f>
        <v/>
      </c>
      <c r="J129" s="9" t="str">
        <f aca="false">IF($H129="","",$H129*$I129)</f>
        <v/>
      </c>
    </row>
    <row r="130" customFormat="false" ht="15" hidden="false" customHeight="false" outlineLevel="0" collapsed="false">
      <c r="A130" s="4" t="str">
        <f aca="false">IF($B130="","",ROW()-7)</f>
        <v/>
      </c>
      <c r="J130" s="9" t="str">
        <f aca="false">IF($H130="","",$H130*$I130)</f>
        <v/>
      </c>
    </row>
    <row r="131" customFormat="false" ht="15" hidden="false" customHeight="false" outlineLevel="0" collapsed="false">
      <c r="A131" s="4" t="str">
        <f aca="false">IF($B131="","",ROW()-7)</f>
        <v/>
      </c>
      <c r="J131" s="9" t="str">
        <f aca="false">IF($H131="","",$H131*$I131)</f>
        <v/>
      </c>
    </row>
    <row r="132" customFormat="false" ht="15" hidden="false" customHeight="false" outlineLevel="0" collapsed="false">
      <c r="A132" s="4" t="str">
        <f aca="false">IF($B132="","",ROW()-7)</f>
        <v/>
      </c>
      <c r="J132" s="9" t="str">
        <f aca="false">IF($H132="","",$H132*$I132)</f>
        <v/>
      </c>
    </row>
    <row r="133" customFormat="false" ht="15" hidden="false" customHeight="false" outlineLevel="0" collapsed="false">
      <c r="A133" s="4" t="str">
        <f aca="false">IF($B133="","",ROW()-7)</f>
        <v/>
      </c>
      <c r="J133" s="9" t="str">
        <f aca="false">IF($H133="","",$H133*$I133)</f>
        <v/>
      </c>
    </row>
    <row r="134" customFormat="false" ht="15" hidden="false" customHeight="false" outlineLevel="0" collapsed="false">
      <c r="A134" s="4" t="str">
        <f aca="false">IF($B134="","",ROW()-7)</f>
        <v/>
      </c>
      <c r="J134" s="9" t="str">
        <f aca="false">IF($H134="","",$H134*$I134)</f>
        <v/>
      </c>
    </row>
    <row r="135" customFormat="false" ht="15" hidden="false" customHeight="false" outlineLevel="0" collapsed="false">
      <c r="A135" s="4" t="str">
        <f aca="false">IF($B135="","",ROW()-7)</f>
        <v/>
      </c>
      <c r="J135" s="9" t="str">
        <f aca="false">IF($H135="","",$H135*$I135)</f>
        <v/>
      </c>
    </row>
    <row r="136" customFormat="false" ht="15" hidden="false" customHeight="false" outlineLevel="0" collapsed="false">
      <c r="A136" s="4" t="str">
        <f aca="false">IF($B136="","",ROW()-7)</f>
        <v/>
      </c>
      <c r="J136" s="9" t="str">
        <f aca="false">IF($H136="","",$H136*$I136)</f>
        <v/>
      </c>
    </row>
    <row r="137" customFormat="false" ht="15" hidden="false" customHeight="false" outlineLevel="0" collapsed="false">
      <c r="A137" s="4" t="str">
        <f aca="false">IF($B137="","",ROW()-7)</f>
        <v/>
      </c>
      <c r="J137" s="9" t="str">
        <f aca="false">IF($H137="","",$H137*$I137)</f>
        <v/>
      </c>
    </row>
    <row r="138" customFormat="false" ht="15" hidden="false" customHeight="false" outlineLevel="0" collapsed="false">
      <c r="A138" s="4" t="str">
        <f aca="false">IF($B138="","",ROW()-7)</f>
        <v/>
      </c>
      <c r="J138" s="9" t="str">
        <f aca="false">IF($H138="","",$H138*$I138)</f>
        <v/>
      </c>
    </row>
    <row r="139" customFormat="false" ht="15" hidden="false" customHeight="false" outlineLevel="0" collapsed="false">
      <c r="A139" s="4" t="str">
        <f aca="false">IF($B139="","",ROW()-7)</f>
        <v/>
      </c>
      <c r="J139" s="9" t="str">
        <f aca="false">IF($H139="","",$H139*$I139)</f>
        <v/>
      </c>
    </row>
    <row r="140" customFormat="false" ht="15" hidden="false" customHeight="false" outlineLevel="0" collapsed="false">
      <c r="A140" s="4" t="str">
        <f aca="false">IF($B140="","",ROW()-7)</f>
        <v/>
      </c>
      <c r="J140" s="9" t="str">
        <f aca="false">IF($H140="","",$H140*$I140)</f>
        <v/>
      </c>
    </row>
    <row r="141" customFormat="false" ht="15" hidden="false" customHeight="false" outlineLevel="0" collapsed="false">
      <c r="A141" s="4" t="str">
        <f aca="false">IF($B141="","",ROW()-7)</f>
        <v/>
      </c>
      <c r="J141" s="9" t="str">
        <f aca="false">IF($H141="","",$H141*$I141)</f>
        <v/>
      </c>
    </row>
    <row r="142" customFormat="false" ht="15" hidden="false" customHeight="false" outlineLevel="0" collapsed="false">
      <c r="A142" s="4" t="str">
        <f aca="false">IF($B142="","",ROW()-7)</f>
        <v/>
      </c>
      <c r="J142" s="9" t="str">
        <f aca="false">IF($H142="","",$H142*$I142)</f>
        <v/>
      </c>
    </row>
    <row r="143" customFormat="false" ht="15" hidden="false" customHeight="false" outlineLevel="0" collapsed="false">
      <c r="A143" s="4" t="str">
        <f aca="false">IF($B143="","",ROW()-7)</f>
        <v/>
      </c>
      <c r="J143" s="9" t="str">
        <f aca="false">IF($H143="","",$H143*$I143)</f>
        <v/>
      </c>
    </row>
    <row r="144" customFormat="false" ht="15" hidden="false" customHeight="false" outlineLevel="0" collapsed="false">
      <c r="A144" s="4" t="str">
        <f aca="false">IF($B144="","",ROW()-7)</f>
        <v/>
      </c>
      <c r="J144" s="9" t="str">
        <f aca="false">IF($H144="","",$H144*$I144)</f>
        <v/>
      </c>
    </row>
    <row r="145" customFormat="false" ht="15" hidden="false" customHeight="false" outlineLevel="0" collapsed="false">
      <c r="A145" s="4" t="str">
        <f aca="false">IF($B145="","",ROW()-7)</f>
        <v/>
      </c>
      <c r="J145" s="9" t="str">
        <f aca="false">IF($H145="","",$H145*$I145)</f>
        <v/>
      </c>
    </row>
    <row r="146" customFormat="false" ht="15" hidden="false" customHeight="false" outlineLevel="0" collapsed="false">
      <c r="A146" s="4" t="str">
        <f aca="false">IF($B146="","",ROW()-7)</f>
        <v/>
      </c>
      <c r="J146" s="9" t="str">
        <f aca="false">IF($H146="","",$H146*$I146)</f>
        <v/>
      </c>
    </row>
    <row r="147" customFormat="false" ht="15" hidden="false" customHeight="false" outlineLevel="0" collapsed="false">
      <c r="A147" s="4" t="str">
        <f aca="false">IF($B147="","",ROW()-7)</f>
        <v/>
      </c>
      <c r="J147" s="9" t="str">
        <f aca="false">IF($H147="","",$H147*$I147)</f>
        <v/>
      </c>
    </row>
    <row r="148" customFormat="false" ht="15" hidden="false" customHeight="false" outlineLevel="0" collapsed="false">
      <c r="A148" s="4" t="str">
        <f aca="false">IF($B148="","",ROW()-7)</f>
        <v/>
      </c>
      <c r="J148" s="9" t="str">
        <f aca="false">IF($H148="","",$H148*$I148)</f>
        <v/>
      </c>
    </row>
    <row r="149" customFormat="false" ht="15" hidden="false" customHeight="false" outlineLevel="0" collapsed="false">
      <c r="A149" s="4" t="str">
        <f aca="false">IF($B149="","",ROW()-7)</f>
        <v/>
      </c>
      <c r="J149" s="9" t="str">
        <f aca="false">IF($H149="","",$H149*$I149)</f>
        <v/>
      </c>
    </row>
    <row r="150" customFormat="false" ht="15" hidden="false" customHeight="false" outlineLevel="0" collapsed="false">
      <c r="A150" s="4" t="str">
        <f aca="false">IF($B150="","",ROW()-7)</f>
        <v/>
      </c>
      <c r="J150" s="9" t="str">
        <f aca="false">IF($H150="","",$H150*$I150)</f>
        <v/>
      </c>
    </row>
    <row r="151" customFormat="false" ht="15" hidden="false" customHeight="false" outlineLevel="0" collapsed="false">
      <c r="A151" s="4" t="str">
        <f aca="false">IF($B151="","",ROW()-7)</f>
        <v/>
      </c>
      <c r="J151" s="9" t="str">
        <f aca="false">IF($H151="","",$H151*$I151)</f>
        <v/>
      </c>
    </row>
    <row r="152" customFormat="false" ht="15" hidden="false" customHeight="false" outlineLevel="0" collapsed="false">
      <c r="A152" s="4" t="str">
        <f aca="false">IF($B152="","",ROW()-7)</f>
        <v/>
      </c>
      <c r="J152" s="9" t="str">
        <f aca="false">IF($H152="","",$H152*$I152)</f>
        <v/>
      </c>
    </row>
    <row r="153" customFormat="false" ht="15" hidden="false" customHeight="false" outlineLevel="0" collapsed="false">
      <c r="A153" s="4" t="str">
        <f aca="false">IF($B153="","",ROW()-7)</f>
        <v/>
      </c>
      <c r="J153" s="9" t="str">
        <f aca="false">IF($H153="","",$H153*$I153)</f>
        <v/>
      </c>
    </row>
    <row r="154" customFormat="false" ht="15" hidden="false" customHeight="false" outlineLevel="0" collapsed="false">
      <c r="A154" s="4" t="str">
        <f aca="false">IF($B154="","",ROW()-7)</f>
        <v/>
      </c>
      <c r="J154" s="9" t="str">
        <f aca="false">IF($H154="","",$H154*$I154)</f>
        <v/>
      </c>
    </row>
    <row r="155" customFormat="false" ht="15" hidden="false" customHeight="false" outlineLevel="0" collapsed="false">
      <c r="A155" s="4" t="str">
        <f aca="false">IF($B155="","",ROW()-7)</f>
        <v/>
      </c>
      <c r="J155" s="9" t="str">
        <f aca="false">IF($H155="","",$H155*$I155)</f>
        <v/>
      </c>
    </row>
    <row r="156" customFormat="false" ht="15" hidden="false" customHeight="false" outlineLevel="0" collapsed="false">
      <c r="A156" s="4" t="str">
        <f aca="false">IF($B156="","",ROW()-7)</f>
        <v/>
      </c>
      <c r="J156" s="9" t="str">
        <f aca="false">IF($H156="","",$H156*$I156)</f>
        <v/>
      </c>
    </row>
    <row r="157" customFormat="false" ht="15" hidden="false" customHeight="false" outlineLevel="0" collapsed="false">
      <c r="A157" s="4" t="str">
        <f aca="false">IF($B157="","",ROW()-7)</f>
        <v/>
      </c>
      <c r="J157" s="9" t="str">
        <f aca="false">IF($H157="","",$H157*$I157)</f>
        <v/>
      </c>
    </row>
    <row r="158" customFormat="false" ht="15" hidden="false" customHeight="false" outlineLevel="0" collapsed="false">
      <c r="A158" s="4" t="str">
        <f aca="false">IF($B158="","",ROW()-7)</f>
        <v/>
      </c>
      <c r="J158" s="9" t="str">
        <f aca="false">IF($H158="","",$H158*$I158)</f>
        <v/>
      </c>
    </row>
    <row r="159" customFormat="false" ht="15" hidden="false" customHeight="false" outlineLevel="0" collapsed="false">
      <c r="A159" s="4" t="str">
        <f aca="false">IF($B159="","",ROW()-7)</f>
        <v/>
      </c>
      <c r="J159" s="9" t="str">
        <f aca="false">IF($H159="","",$H159*$I159)</f>
        <v/>
      </c>
    </row>
    <row r="160" customFormat="false" ht="15" hidden="false" customHeight="false" outlineLevel="0" collapsed="false">
      <c r="A160" s="4" t="str">
        <f aca="false">IF($B160="","",ROW()-7)</f>
        <v/>
      </c>
      <c r="J160" s="9" t="str">
        <f aca="false">IF($H160="","",$H160*$I160)</f>
        <v/>
      </c>
    </row>
    <row r="161" customFormat="false" ht="15" hidden="false" customHeight="false" outlineLevel="0" collapsed="false">
      <c r="A161" s="4" t="str">
        <f aca="false">IF($B161="","",ROW()-7)</f>
        <v/>
      </c>
      <c r="J161" s="9" t="str">
        <f aca="false">IF($H161="","",$H161*$I161)</f>
        <v/>
      </c>
    </row>
    <row r="162" customFormat="false" ht="15" hidden="false" customHeight="false" outlineLevel="0" collapsed="false">
      <c r="A162" s="4" t="str">
        <f aca="false">IF($B162="","",ROW()-7)</f>
        <v/>
      </c>
      <c r="J162" s="9" t="str">
        <f aca="false">IF($H162="","",$H162*$I162)</f>
        <v/>
      </c>
    </row>
    <row r="163" customFormat="false" ht="15" hidden="false" customHeight="false" outlineLevel="0" collapsed="false">
      <c r="A163" s="4" t="str">
        <f aca="false">IF($B163="","",ROW()-7)</f>
        <v/>
      </c>
      <c r="J163" s="9" t="str">
        <f aca="false">IF($H163="","",$H163*$I163)</f>
        <v/>
      </c>
    </row>
    <row r="164" customFormat="false" ht="15" hidden="false" customHeight="false" outlineLevel="0" collapsed="false">
      <c r="A164" s="4" t="str">
        <f aca="false">IF($B164="","",ROW()-7)</f>
        <v/>
      </c>
      <c r="J164" s="9" t="str">
        <f aca="false">IF($H164="","",$H164*$I164)</f>
        <v/>
      </c>
    </row>
    <row r="165" customFormat="false" ht="15" hidden="false" customHeight="false" outlineLevel="0" collapsed="false">
      <c r="A165" s="4" t="str">
        <f aca="false">IF($B165="","",ROW()-7)</f>
        <v/>
      </c>
      <c r="J165" s="9" t="str">
        <f aca="false">IF($H165="","",$H165*$I165)</f>
        <v/>
      </c>
    </row>
    <row r="166" customFormat="false" ht="15" hidden="false" customHeight="false" outlineLevel="0" collapsed="false">
      <c r="A166" s="4" t="str">
        <f aca="false">IF($B166="","",ROW()-7)</f>
        <v/>
      </c>
      <c r="J166" s="9" t="str">
        <f aca="false">IF($H166="","",$H166*$I166)</f>
        <v/>
      </c>
    </row>
    <row r="167" customFormat="false" ht="15" hidden="false" customHeight="false" outlineLevel="0" collapsed="false">
      <c r="A167" s="4" t="str">
        <f aca="false">IF($B167="","",ROW()-7)</f>
        <v/>
      </c>
      <c r="J167" s="9" t="str">
        <f aca="false">IF($H167="","",$H167*$I167)</f>
        <v/>
      </c>
    </row>
    <row r="168" customFormat="false" ht="15" hidden="false" customHeight="false" outlineLevel="0" collapsed="false">
      <c r="A168" s="4" t="str">
        <f aca="false">IF($B168="","",ROW()-7)</f>
        <v/>
      </c>
      <c r="J168" s="9" t="str">
        <f aca="false">IF($H168="","",$H168*$I168)</f>
        <v/>
      </c>
    </row>
    <row r="169" customFormat="false" ht="15" hidden="false" customHeight="false" outlineLevel="0" collapsed="false">
      <c r="A169" s="4" t="str">
        <f aca="false">IF($B169="","",ROW()-7)</f>
        <v/>
      </c>
      <c r="J169" s="9" t="str">
        <f aca="false">IF($H169="","",$H169*$I169)</f>
        <v/>
      </c>
    </row>
    <row r="170" customFormat="false" ht="15" hidden="false" customHeight="false" outlineLevel="0" collapsed="false">
      <c r="A170" s="4" t="str">
        <f aca="false">IF($B170="","",ROW()-7)</f>
        <v/>
      </c>
      <c r="J170" s="9" t="str">
        <f aca="false">IF($H170="","",$H170*$I170)</f>
        <v/>
      </c>
    </row>
    <row r="171" customFormat="false" ht="15" hidden="false" customHeight="false" outlineLevel="0" collapsed="false">
      <c r="A171" s="4" t="str">
        <f aca="false">IF($B171="","",ROW()-7)</f>
        <v/>
      </c>
      <c r="J171" s="9" t="str">
        <f aca="false">IF($H171="","",$H171*$I171)</f>
        <v/>
      </c>
    </row>
    <row r="172" customFormat="false" ht="15" hidden="false" customHeight="false" outlineLevel="0" collapsed="false">
      <c r="A172" s="4" t="str">
        <f aca="false">IF($B172="","",ROW()-7)</f>
        <v/>
      </c>
      <c r="J172" s="9" t="str">
        <f aca="false">IF($H172="","",$H172*$I172)</f>
        <v/>
      </c>
    </row>
    <row r="173" customFormat="false" ht="15" hidden="false" customHeight="false" outlineLevel="0" collapsed="false">
      <c r="A173" s="4" t="str">
        <f aca="false">IF($B173="","",ROW()-7)</f>
        <v/>
      </c>
      <c r="J173" s="9" t="str">
        <f aca="false">IF($H173="","",$H173*$I173)</f>
        <v/>
      </c>
    </row>
    <row r="174" customFormat="false" ht="15" hidden="false" customHeight="false" outlineLevel="0" collapsed="false">
      <c r="A174" s="4" t="str">
        <f aca="false">IF($B174="","",ROW()-7)</f>
        <v/>
      </c>
      <c r="J174" s="9" t="str">
        <f aca="false">IF($H174="","",$H174*$I174)</f>
        <v/>
      </c>
    </row>
    <row r="175" customFormat="false" ht="15" hidden="false" customHeight="false" outlineLevel="0" collapsed="false">
      <c r="A175" s="4" t="str">
        <f aca="false">IF($B175="","",ROW()-7)</f>
        <v/>
      </c>
      <c r="J175" s="9" t="str">
        <f aca="false">IF($H175="","",$H175*$I175)</f>
        <v/>
      </c>
    </row>
    <row r="176" customFormat="false" ht="15" hidden="false" customHeight="false" outlineLevel="0" collapsed="false">
      <c r="A176" s="4" t="str">
        <f aca="false">IF($B176="","",ROW()-7)</f>
        <v/>
      </c>
      <c r="J176" s="9" t="str">
        <f aca="false">IF($H176="","",$H176*$I176)</f>
        <v/>
      </c>
    </row>
    <row r="177" customFormat="false" ht="15" hidden="false" customHeight="false" outlineLevel="0" collapsed="false">
      <c r="A177" s="4" t="str">
        <f aca="false">IF($B177="","",ROW()-7)</f>
        <v/>
      </c>
      <c r="J177" s="9" t="str">
        <f aca="false">IF($H177="","",$H177*$I177)</f>
        <v/>
      </c>
    </row>
    <row r="178" customFormat="false" ht="15" hidden="false" customHeight="false" outlineLevel="0" collapsed="false">
      <c r="A178" s="4" t="str">
        <f aca="false">IF($B178="","",ROW()-7)</f>
        <v/>
      </c>
      <c r="J178" s="9" t="str">
        <f aca="false">IF($H178="","",$H178*$I178)</f>
        <v/>
      </c>
    </row>
    <row r="179" customFormat="false" ht="15" hidden="false" customHeight="false" outlineLevel="0" collapsed="false">
      <c r="A179" s="4" t="str">
        <f aca="false">IF($B179="","",ROW()-7)</f>
        <v/>
      </c>
      <c r="J179" s="9" t="str">
        <f aca="false">IF($H179="","",$H179*$I179)</f>
        <v/>
      </c>
    </row>
    <row r="180" customFormat="false" ht="15" hidden="false" customHeight="false" outlineLevel="0" collapsed="false">
      <c r="A180" s="4" t="str">
        <f aca="false">IF($B180="","",ROW()-7)</f>
        <v/>
      </c>
      <c r="J180" s="9" t="str">
        <f aca="false">IF($H180="","",$H180*$I180)</f>
        <v/>
      </c>
    </row>
    <row r="181" customFormat="false" ht="15" hidden="false" customHeight="false" outlineLevel="0" collapsed="false">
      <c r="A181" s="4" t="str">
        <f aca="false">IF($B181="","",ROW()-7)</f>
        <v/>
      </c>
      <c r="J181" s="9" t="str">
        <f aca="false">IF($H181="","",$H181*$I181)</f>
        <v/>
      </c>
    </row>
    <row r="182" customFormat="false" ht="15" hidden="false" customHeight="false" outlineLevel="0" collapsed="false">
      <c r="A182" s="4" t="str">
        <f aca="false">IF($B182="","",ROW()-7)</f>
        <v/>
      </c>
      <c r="J182" s="9" t="str">
        <f aca="false">IF($H182="","",$H182*$I182)</f>
        <v/>
      </c>
    </row>
    <row r="183" customFormat="false" ht="15" hidden="false" customHeight="false" outlineLevel="0" collapsed="false">
      <c r="A183" s="4" t="str">
        <f aca="false">IF($B183="","",ROW()-7)</f>
        <v/>
      </c>
      <c r="J183" s="9" t="str">
        <f aca="false">IF($H183="","",$H183*$I183)</f>
        <v/>
      </c>
    </row>
    <row r="184" customFormat="false" ht="15" hidden="false" customHeight="false" outlineLevel="0" collapsed="false">
      <c r="A184" s="4" t="str">
        <f aca="false">IF($B184="","",ROW()-7)</f>
        <v/>
      </c>
      <c r="J184" s="9" t="str">
        <f aca="false">IF($H184="","",$H184*$I184)</f>
        <v/>
      </c>
    </row>
    <row r="185" customFormat="false" ht="15" hidden="false" customHeight="false" outlineLevel="0" collapsed="false">
      <c r="A185" s="4" t="str">
        <f aca="false">IF($B185="","",ROW()-7)</f>
        <v/>
      </c>
      <c r="J185" s="9" t="str">
        <f aca="false">IF($H185="","",$H185*$I185)</f>
        <v/>
      </c>
    </row>
    <row r="186" customFormat="false" ht="15" hidden="false" customHeight="false" outlineLevel="0" collapsed="false">
      <c r="A186" s="4" t="str">
        <f aca="false">IF($B186="","",ROW()-7)</f>
        <v/>
      </c>
      <c r="J186" s="9" t="str">
        <f aca="false">IF($H186="","",$H186*$I186)</f>
        <v/>
      </c>
    </row>
    <row r="187" customFormat="false" ht="15" hidden="false" customHeight="false" outlineLevel="0" collapsed="false">
      <c r="A187" s="4" t="str">
        <f aca="false">IF($B187="","",ROW()-7)</f>
        <v/>
      </c>
      <c r="J187" s="9" t="str">
        <f aca="false">IF($H187="","",$H187*$I187)</f>
        <v/>
      </c>
    </row>
    <row r="188" customFormat="false" ht="15" hidden="false" customHeight="false" outlineLevel="0" collapsed="false">
      <c r="A188" s="4" t="str">
        <f aca="false">IF($B188="","",ROW()-7)</f>
        <v/>
      </c>
      <c r="J188" s="9" t="str">
        <f aca="false">IF($H188="","",$H188*$I188)</f>
        <v/>
      </c>
    </row>
    <row r="189" customFormat="false" ht="15" hidden="false" customHeight="false" outlineLevel="0" collapsed="false">
      <c r="A189" s="4" t="str">
        <f aca="false">IF($B189="","",ROW()-7)</f>
        <v/>
      </c>
      <c r="J189" s="9" t="str">
        <f aca="false">IF($H189="","",$H189*$I189)</f>
        <v/>
      </c>
    </row>
    <row r="190" customFormat="false" ht="15" hidden="false" customHeight="false" outlineLevel="0" collapsed="false">
      <c r="A190" s="4" t="str">
        <f aca="false">IF($B190="","",ROW()-7)</f>
        <v/>
      </c>
      <c r="J190" s="9" t="str">
        <f aca="false">IF($H190="","",$H190*$I190)</f>
        <v/>
      </c>
    </row>
    <row r="191" customFormat="false" ht="15" hidden="false" customHeight="false" outlineLevel="0" collapsed="false">
      <c r="A191" s="4" t="str">
        <f aca="false">IF($B191="","",ROW()-7)</f>
        <v/>
      </c>
      <c r="J191" s="9" t="str">
        <f aca="false">IF($H191="","",$H191*$I191)</f>
        <v/>
      </c>
    </row>
    <row r="192" customFormat="false" ht="15" hidden="false" customHeight="false" outlineLevel="0" collapsed="false">
      <c r="A192" s="4" t="str">
        <f aca="false">IF($B192="","",ROW()-7)</f>
        <v/>
      </c>
      <c r="J192" s="9" t="str">
        <f aca="false">IF($H192="","",$H192*$I192)</f>
        <v/>
      </c>
    </row>
    <row r="193" customFormat="false" ht="15" hidden="false" customHeight="false" outlineLevel="0" collapsed="false">
      <c r="A193" s="4" t="str">
        <f aca="false">IF($B193="","",ROW()-7)</f>
        <v/>
      </c>
      <c r="J193" s="9" t="str">
        <f aca="false">IF($H193="","",$H193*$I193)</f>
        <v/>
      </c>
    </row>
    <row r="194" customFormat="false" ht="15" hidden="false" customHeight="false" outlineLevel="0" collapsed="false">
      <c r="A194" s="4" t="str">
        <f aca="false">IF($B194="","",ROW()-7)</f>
        <v/>
      </c>
      <c r="J194" s="9" t="str">
        <f aca="false">IF($H194="","",$H194*$I194)</f>
        <v/>
      </c>
    </row>
    <row r="195" customFormat="false" ht="15" hidden="false" customHeight="false" outlineLevel="0" collapsed="false">
      <c r="A195" s="4" t="str">
        <f aca="false">IF($B195="","",ROW()-7)</f>
        <v/>
      </c>
      <c r="J195" s="9" t="str">
        <f aca="false">IF($H195="","",$H195*$I195)</f>
        <v/>
      </c>
    </row>
    <row r="196" customFormat="false" ht="15" hidden="false" customHeight="false" outlineLevel="0" collapsed="false">
      <c r="A196" s="4" t="str">
        <f aca="false">IF($B196="","",ROW()-7)</f>
        <v/>
      </c>
      <c r="J196" s="9" t="str">
        <f aca="false">IF($H196="","",$H196*$I196)</f>
        <v/>
      </c>
    </row>
    <row r="197" customFormat="false" ht="15" hidden="false" customHeight="false" outlineLevel="0" collapsed="false">
      <c r="A197" s="4" t="str">
        <f aca="false">IF($B197="","",ROW()-7)</f>
        <v/>
      </c>
      <c r="J197" s="9" t="str">
        <f aca="false">IF($H197="","",$H197*$I197)</f>
        <v/>
      </c>
    </row>
    <row r="198" customFormat="false" ht="15" hidden="false" customHeight="false" outlineLevel="0" collapsed="false">
      <c r="A198" s="4" t="str">
        <f aca="false">IF($B198="","",ROW()-7)</f>
        <v/>
      </c>
      <c r="J198" s="9" t="str">
        <f aca="false">IF($H198="","",$H198*$I198)</f>
        <v/>
      </c>
    </row>
    <row r="199" customFormat="false" ht="15" hidden="false" customHeight="false" outlineLevel="0" collapsed="false">
      <c r="A199" s="4" t="str">
        <f aca="false">IF($B199="","",ROW()-7)</f>
        <v/>
      </c>
      <c r="J199" s="9" t="str">
        <f aca="false">IF($H199="","",$H199*$I199)</f>
        <v/>
      </c>
    </row>
    <row r="200" customFormat="false" ht="15" hidden="false" customHeight="false" outlineLevel="0" collapsed="false">
      <c r="A200" s="4" t="str">
        <f aca="false">IF($B200="","",ROW()-7)</f>
        <v/>
      </c>
      <c r="J200" s="9" t="str">
        <f aca="false">IF($H200="","",$H200*$I200)</f>
        <v/>
      </c>
    </row>
    <row r="201" customFormat="false" ht="15" hidden="false" customHeight="false" outlineLevel="0" collapsed="false">
      <c r="A201" s="4" t="str">
        <f aca="false">IF($B201="","",ROW()-7)</f>
        <v/>
      </c>
      <c r="J201" s="9" t="str">
        <f aca="false">IF($H201="","",$H201*$I201)</f>
        <v/>
      </c>
    </row>
    <row r="202" customFormat="false" ht="15" hidden="false" customHeight="false" outlineLevel="0" collapsed="false">
      <c r="A202" s="4" t="str">
        <f aca="false">IF($B202="","",ROW()-7)</f>
        <v/>
      </c>
      <c r="J202" s="9" t="str">
        <f aca="false">IF($H202="","",$H202*$I202)</f>
        <v/>
      </c>
    </row>
    <row r="203" customFormat="false" ht="15" hidden="false" customHeight="false" outlineLevel="0" collapsed="false">
      <c r="A203" s="4" t="str">
        <f aca="false">IF($B203="","",ROW()-7)</f>
        <v/>
      </c>
      <c r="J203" s="9" t="str">
        <f aca="false">IF($H203="","",$H203*$I203)</f>
        <v/>
      </c>
    </row>
    <row r="204" customFormat="false" ht="15" hidden="false" customHeight="false" outlineLevel="0" collapsed="false">
      <c r="A204" s="4" t="str">
        <f aca="false">IF($B204="","",ROW()-7)</f>
        <v/>
      </c>
      <c r="J204" s="9" t="str">
        <f aca="false">IF($H204="","",$H204*$I204)</f>
        <v/>
      </c>
    </row>
    <row r="205" customFormat="false" ht="15" hidden="false" customHeight="false" outlineLevel="0" collapsed="false">
      <c r="A205" s="4" t="str">
        <f aca="false">IF($B205="","",ROW()-7)</f>
        <v/>
      </c>
      <c r="J205" s="9" t="str">
        <f aca="false">IF($H205="","",$H205*$I205)</f>
        <v/>
      </c>
    </row>
    <row r="206" customFormat="false" ht="15" hidden="false" customHeight="false" outlineLevel="0" collapsed="false">
      <c r="A206" s="4" t="str">
        <f aca="false">IF($B206="","",ROW()-7)</f>
        <v/>
      </c>
      <c r="J206" s="9" t="str">
        <f aca="false">IF($H206="","",$H206*$I206)</f>
        <v/>
      </c>
    </row>
    <row r="207" customFormat="false" ht="15" hidden="false" customHeight="false" outlineLevel="0" collapsed="false">
      <c r="A207" s="4" t="str">
        <f aca="false">IF($B207="","",ROW()-7)</f>
        <v/>
      </c>
      <c r="J207" s="9" t="str">
        <f aca="false">IF($H207="","",$H207*$I207)</f>
        <v/>
      </c>
    </row>
    <row r="208" customFormat="false" ht="15" hidden="false" customHeight="false" outlineLevel="0" collapsed="false">
      <c r="A208" s="4" t="str">
        <f aca="false">IF($B208="","",ROW()-7)</f>
        <v/>
      </c>
      <c r="J208" s="9" t="str">
        <f aca="false">IF($H208="","",$H208*$I208)</f>
        <v/>
      </c>
    </row>
    <row r="209" customFormat="false" ht="15" hidden="false" customHeight="false" outlineLevel="0" collapsed="false">
      <c r="A209" s="4" t="str">
        <f aca="false">IF($B209="","",ROW()-7)</f>
        <v/>
      </c>
      <c r="J209" s="9" t="str">
        <f aca="false">IF($H209="","",$H209*$I209)</f>
        <v/>
      </c>
    </row>
    <row r="210" customFormat="false" ht="15" hidden="false" customHeight="false" outlineLevel="0" collapsed="false">
      <c r="A210" s="4" t="str">
        <f aca="false">IF($B210="","",ROW()-7)</f>
        <v/>
      </c>
      <c r="J210" s="9" t="str">
        <f aca="false">IF($H210="","",$H210*$I210)</f>
        <v/>
      </c>
    </row>
    <row r="211" customFormat="false" ht="15" hidden="false" customHeight="false" outlineLevel="0" collapsed="false">
      <c r="A211" s="4" t="str">
        <f aca="false">IF($B211="","",ROW()-7)</f>
        <v/>
      </c>
      <c r="J211" s="9" t="str">
        <f aca="false">IF($H211="","",$H211*$I211)</f>
        <v/>
      </c>
    </row>
    <row r="212" customFormat="false" ht="15" hidden="false" customHeight="false" outlineLevel="0" collapsed="false">
      <c r="A212" s="4" t="str">
        <f aca="false">IF($B212="","",ROW()-7)</f>
        <v/>
      </c>
      <c r="J212" s="9" t="str">
        <f aca="false">IF($H212="","",$H212*$I212)</f>
        <v/>
      </c>
    </row>
    <row r="213" customFormat="false" ht="15" hidden="false" customHeight="false" outlineLevel="0" collapsed="false">
      <c r="A213" s="4" t="str">
        <f aca="false">IF($B213="","",ROW()-7)</f>
        <v/>
      </c>
      <c r="J213" s="9" t="str">
        <f aca="false">IF($H213="","",$H213*$I213)</f>
        <v/>
      </c>
    </row>
    <row r="214" customFormat="false" ht="15" hidden="false" customHeight="false" outlineLevel="0" collapsed="false">
      <c r="A214" s="4" t="str">
        <f aca="false">IF($B214="","",ROW()-7)</f>
        <v/>
      </c>
      <c r="J214" s="9" t="str">
        <f aca="false">IF($H214="","",$H214*$I214)</f>
        <v/>
      </c>
    </row>
    <row r="215" customFormat="false" ht="15" hidden="false" customHeight="false" outlineLevel="0" collapsed="false">
      <c r="A215" s="4" t="str">
        <f aca="false">IF($B215="","",ROW()-7)</f>
        <v/>
      </c>
      <c r="J215" s="9" t="str">
        <f aca="false">IF($H215="","",$H215*$I215)</f>
        <v/>
      </c>
    </row>
    <row r="216" customFormat="false" ht="15" hidden="false" customHeight="false" outlineLevel="0" collapsed="false">
      <c r="A216" s="4" t="str">
        <f aca="false">IF($B216="","",ROW()-7)</f>
        <v/>
      </c>
      <c r="J216" s="9" t="str">
        <f aca="false">IF($H216="","",$H216*$I216)</f>
        <v/>
      </c>
    </row>
    <row r="217" customFormat="false" ht="15" hidden="false" customHeight="false" outlineLevel="0" collapsed="false">
      <c r="A217" s="4" t="str">
        <f aca="false">IF($B217="","",ROW()-7)</f>
        <v/>
      </c>
      <c r="J217" s="9" t="str">
        <f aca="false">IF($H217="","",$H217*$I217)</f>
        <v/>
      </c>
    </row>
    <row r="218" customFormat="false" ht="15" hidden="false" customHeight="false" outlineLevel="0" collapsed="false">
      <c r="A218" s="4" t="str">
        <f aca="false">IF($B218="","",ROW()-7)</f>
        <v/>
      </c>
      <c r="J218" s="9" t="str">
        <f aca="false">IF($H218="","",$H218*$I218)</f>
        <v/>
      </c>
    </row>
    <row r="219" customFormat="false" ht="15" hidden="false" customHeight="false" outlineLevel="0" collapsed="false">
      <c r="A219" s="4" t="str">
        <f aca="false">IF($B219="","",ROW()-7)</f>
        <v/>
      </c>
      <c r="J219" s="9" t="str">
        <f aca="false">IF($H219="","",$H219*$I219)</f>
        <v/>
      </c>
    </row>
    <row r="220" customFormat="false" ht="15" hidden="false" customHeight="false" outlineLevel="0" collapsed="false">
      <c r="A220" s="4" t="str">
        <f aca="false">IF($B220="","",ROW()-7)</f>
        <v/>
      </c>
      <c r="J220" s="9" t="str">
        <f aca="false">IF($H220="","",$H220*$I220)</f>
        <v/>
      </c>
    </row>
    <row r="221" customFormat="false" ht="15" hidden="false" customHeight="false" outlineLevel="0" collapsed="false">
      <c r="A221" s="4" t="str">
        <f aca="false">IF($B221="","",ROW()-7)</f>
        <v/>
      </c>
      <c r="J221" s="9" t="str">
        <f aca="false">IF($H221="","",$H221*$I221)</f>
        <v/>
      </c>
    </row>
    <row r="222" customFormat="false" ht="15" hidden="false" customHeight="false" outlineLevel="0" collapsed="false">
      <c r="A222" s="4" t="str">
        <f aca="false">IF($B222="","",ROW()-7)</f>
        <v/>
      </c>
      <c r="J222" s="9" t="str">
        <f aca="false">IF($H222="","",$H222*$I222)</f>
        <v/>
      </c>
    </row>
    <row r="223" customFormat="false" ht="15" hidden="false" customHeight="false" outlineLevel="0" collapsed="false">
      <c r="A223" s="4" t="str">
        <f aca="false">IF($B223="","",ROW()-7)</f>
        <v/>
      </c>
      <c r="J223" s="9" t="str">
        <f aca="false">IF($H223="","",$H223*$I223)</f>
        <v/>
      </c>
    </row>
    <row r="224" customFormat="false" ht="15" hidden="false" customHeight="false" outlineLevel="0" collapsed="false">
      <c r="A224" s="4" t="str">
        <f aca="false">IF($B224="","",ROW()-7)</f>
        <v/>
      </c>
      <c r="J224" s="9" t="str">
        <f aca="false">IF($H224="","",$H224*$I224)</f>
        <v/>
      </c>
    </row>
    <row r="225" customFormat="false" ht="15" hidden="false" customHeight="false" outlineLevel="0" collapsed="false">
      <c r="A225" s="4" t="str">
        <f aca="false">IF($B225="","",ROW()-7)</f>
        <v/>
      </c>
      <c r="J225" s="9" t="str">
        <f aca="false">IF($H225="","",$H225*$I225)</f>
        <v/>
      </c>
    </row>
    <row r="226" customFormat="false" ht="15" hidden="false" customHeight="false" outlineLevel="0" collapsed="false">
      <c r="A226" s="4" t="str">
        <f aca="false">IF($B226="","",ROW()-7)</f>
        <v/>
      </c>
      <c r="J226" s="9" t="str">
        <f aca="false">IF($H226="","",$H226*$I226)</f>
        <v/>
      </c>
    </row>
    <row r="227" customFormat="false" ht="15" hidden="false" customHeight="false" outlineLevel="0" collapsed="false">
      <c r="A227" s="4" t="str">
        <f aca="false">IF($B227="","",ROW()-7)</f>
        <v/>
      </c>
      <c r="J227" s="9" t="str">
        <f aca="false">IF($H227="","",$H227*$I227)</f>
        <v/>
      </c>
    </row>
    <row r="228" customFormat="false" ht="15" hidden="false" customHeight="false" outlineLevel="0" collapsed="false">
      <c r="A228" s="4" t="str">
        <f aca="false">IF($B228="","",ROW()-7)</f>
        <v/>
      </c>
      <c r="J228" s="9" t="str">
        <f aca="false">IF($H228="","",$H228*$I228)</f>
        <v/>
      </c>
    </row>
    <row r="229" customFormat="false" ht="15" hidden="false" customHeight="false" outlineLevel="0" collapsed="false">
      <c r="A229" s="4" t="str">
        <f aca="false">IF($B229="","",ROW()-7)</f>
        <v/>
      </c>
      <c r="J229" s="9" t="str">
        <f aca="false">IF($H229="","",$H229*$I229)</f>
        <v/>
      </c>
    </row>
    <row r="230" customFormat="false" ht="15" hidden="false" customHeight="false" outlineLevel="0" collapsed="false">
      <c r="A230" s="4" t="str">
        <f aca="false">IF($B230="","",ROW()-7)</f>
        <v/>
      </c>
      <c r="J230" s="9" t="str">
        <f aca="false">IF($H230="","",$H230*$I230)</f>
        <v/>
      </c>
    </row>
    <row r="231" customFormat="false" ht="15" hidden="false" customHeight="false" outlineLevel="0" collapsed="false">
      <c r="A231" s="4" t="str">
        <f aca="false">IF($B231="","",ROW()-7)</f>
        <v/>
      </c>
      <c r="J231" s="9" t="str">
        <f aca="false">IF($H231="","",$H231*$I231)</f>
        <v/>
      </c>
    </row>
    <row r="232" customFormat="false" ht="15" hidden="false" customHeight="false" outlineLevel="0" collapsed="false">
      <c r="A232" s="4" t="str">
        <f aca="false">IF($B232="","",ROW()-7)</f>
        <v/>
      </c>
      <c r="J232" s="9" t="str">
        <f aca="false">IF($H232="","",$H232*$I232)</f>
        <v/>
      </c>
    </row>
    <row r="233" customFormat="false" ht="15" hidden="false" customHeight="false" outlineLevel="0" collapsed="false">
      <c r="A233" s="4" t="str">
        <f aca="false">IF($B233="","",ROW()-7)</f>
        <v/>
      </c>
      <c r="J233" s="9" t="str">
        <f aca="false">IF($H233="","",$H233*$I233)</f>
        <v/>
      </c>
    </row>
    <row r="234" customFormat="false" ht="15" hidden="false" customHeight="false" outlineLevel="0" collapsed="false">
      <c r="A234" s="4" t="str">
        <f aca="false">IF($B234="","",ROW()-7)</f>
        <v/>
      </c>
      <c r="J234" s="9" t="str">
        <f aca="false">IF($H234="","",$H234*$I234)</f>
        <v/>
      </c>
    </row>
    <row r="235" customFormat="false" ht="15" hidden="false" customHeight="false" outlineLevel="0" collapsed="false">
      <c r="A235" s="4" t="str">
        <f aca="false">IF($B235="","",ROW()-7)</f>
        <v/>
      </c>
      <c r="J235" s="9" t="str">
        <f aca="false">IF($H235="","",$H235*$I235)</f>
        <v/>
      </c>
    </row>
    <row r="236" customFormat="false" ht="15" hidden="false" customHeight="false" outlineLevel="0" collapsed="false">
      <c r="A236" s="4" t="str">
        <f aca="false">IF($B236="","",ROW()-7)</f>
        <v/>
      </c>
      <c r="J236" s="9" t="str">
        <f aca="false">IF($H236="","",$H236*$I236)</f>
        <v/>
      </c>
    </row>
    <row r="237" customFormat="false" ht="15" hidden="false" customHeight="false" outlineLevel="0" collapsed="false">
      <c r="A237" s="4" t="str">
        <f aca="false">IF($B237="","",ROW()-7)</f>
        <v/>
      </c>
      <c r="J237" s="9" t="str">
        <f aca="false">IF($H237="","",$H237*$I237)</f>
        <v/>
      </c>
    </row>
    <row r="238" customFormat="false" ht="15" hidden="false" customHeight="false" outlineLevel="0" collapsed="false">
      <c r="A238" s="4" t="str">
        <f aca="false">IF($B238="","",ROW()-7)</f>
        <v/>
      </c>
      <c r="J238" s="9" t="str">
        <f aca="false">IF($H238="","",$H238*$I238)</f>
        <v/>
      </c>
    </row>
    <row r="239" customFormat="false" ht="15" hidden="false" customHeight="false" outlineLevel="0" collapsed="false">
      <c r="A239" s="4" t="str">
        <f aca="false">IF($B239="","",ROW()-7)</f>
        <v/>
      </c>
      <c r="J239" s="9" t="str">
        <f aca="false">IF($H239="","",$H239*$I239)</f>
        <v/>
      </c>
    </row>
    <row r="240" customFormat="false" ht="15" hidden="false" customHeight="false" outlineLevel="0" collapsed="false">
      <c r="A240" s="4" t="str">
        <f aca="false">IF($B240="","",ROW()-7)</f>
        <v/>
      </c>
      <c r="J240" s="9" t="str">
        <f aca="false">IF($H240="","",$H240*$I240)</f>
        <v/>
      </c>
    </row>
    <row r="241" customFormat="false" ht="15" hidden="false" customHeight="false" outlineLevel="0" collapsed="false">
      <c r="A241" s="4" t="str">
        <f aca="false">IF($B241="","",ROW()-7)</f>
        <v/>
      </c>
      <c r="J241" s="9" t="str">
        <f aca="false">IF($H241="","",$H241*$I241)</f>
        <v/>
      </c>
    </row>
    <row r="242" customFormat="false" ht="15" hidden="false" customHeight="false" outlineLevel="0" collapsed="false">
      <c r="A242" s="4" t="str">
        <f aca="false">IF($B242="","",ROW()-7)</f>
        <v/>
      </c>
      <c r="J242" s="9" t="str">
        <f aca="false">IF($H242="","",$H242*$I242)</f>
        <v/>
      </c>
    </row>
    <row r="243" customFormat="false" ht="15" hidden="false" customHeight="false" outlineLevel="0" collapsed="false">
      <c r="A243" s="4" t="str">
        <f aca="false">IF($B243="","",ROW()-7)</f>
        <v/>
      </c>
      <c r="J243" s="9" t="str">
        <f aca="false">IF($H243="","",$H243*$I243)</f>
        <v/>
      </c>
    </row>
    <row r="244" customFormat="false" ht="15" hidden="false" customHeight="false" outlineLevel="0" collapsed="false">
      <c r="A244" s="4" t="str">
        <f aca="false">IF($B244="","",ROW()-7)</f>
        <v/>
      </c>
      <c r="J244" s="9" t="str">
        <f aca="false">IF($H244="","",$H244*$I244)</f>
        <v/>
      </c>
    </row>
    <row r="245" customFormat="false" ht="15" hidden="false" customHeight="false" outlineLevel="0" collapsed="false">
      <c r="A245" s="4" t="str">
        <f aca="false">IF($B245="","",ROW()-7)</f>
        <v/>
      </c>
      <c r="J245" s="9" t="str">
        <f aca="false">IF($H245="","",$H245*$I245)</f>
        <v/>
      </c>
    </row>
    <row r="246" customFormat="false" ht="15" hidden="false" customHeight="false" outlineLevel="0" collapsed="false">
      <c r="A246" s="4" t="str">
        <f aca="false">IF($B246="","",ROW()-7)</f>
        <v/>
      </c>
      <c r="J246" s="9" t="str">
        <f aca="false">IF($H246="","",$H246*$I246)</f>
        <v/>
      </c>
    </row>
    <row r="247" customFormat="false" ht="15" hidden="false" customHeight="false" outlineLevel="0" collapsed="false">
      <c r="A247" s="4" t="str">
        <f aca="false">IF($B247="","",ROW()-7)</f>
        <v/>
      </c>
      <c r="J247" s="9" t="str">
        <f aca="false">IF($H247="","",$H247*$I247)</f>
        <v/>
      </c>
    </row>
    <row r="248" customFormat="false" ht="15" hidden="false" customHeight="false" outlineLevel="0" collapsed="false">
      <c r="A248" s="4" t="str">
        <f aca="false">IF($B248="","",ROW()-7)</f>
        <v/>
      </c>
      <c r="J248" s="9" t="str">
        <f aca="false">IF($H248="","",$H248*$I248)</f>
        <v/>
      </c>
    </row>
    <row r="249" customFormat="false" ht="15" hidden="false" customHeight="false" outlineLevel="0" collapsed="false">
      <c r="A249" s="4" t="str">
        <f aca="false">IF($B249="","",ROW()-7)</f>
        <v/>
      </c>
      <c r="J249" s="9" t="str">
        <f aca="false">IF($H249="","",$H249*$I249)</f>
        <v/>
      </c>
    </row>
    <row r="250" customFormat="false" ht="15" hidden="false" customHeight="false" outlineLevel="0" collapsed="false">
      <c r="A250" s="4" t="str">
        <f aca="false">IF($B250="","",ROW()-7)</f>
        <v/>
      </c>
      <c r="J250" s="9" t="str">
        <f aca="false">IF($H250="","",$H250*$I250)</f>
        <v/>
      </c>
    </row>
    <row r="251" customFormat="false" ht="15" hidden="false" customHeight="false" outlineLevel="0" collapsed="false">
      <c r="A251" s="4" t="str">
        <f aca="false">IF($B251="","",ROW()-7)</f>
        <v/>
      </c>
      <c r="J251" s="9" t="str">
        <f aca="false">IF($H251="","",$H251*$I251)</f>
        <v/>
      </c>
    </row>
    <row r="252" customFormat="false" ht="15" hidden="false" customHeight="false" outlineLevel="0" collapsed="false">
      <c r="A252" s="4" t="str">
        <f aca="false">IF($B252="","",ROW()-7)</f>
        <v/>
      </c>
      <c r="J252" s="9" t="str">
        <f aca="false">IF($H252="","",$H252*$I252)</f>
        <v/>
      </c>
    </row>
    <row r="253" customFormat="false" ht="15" hidden="false" customHeight="false" outlineLevel="0" collapsed="false">
      <c r="A253" s="4" t="str">
        <f aca="false">IF($B253="","",ROW()-7)</f>
        <v/>
      </c>
      <c r="J253" s="9" t="str">
        <f aca="false">IF($H253="","",$H253*$I253)</f>
        <v/>
      </c>
    </row>
    <row r="254" customFormat="false" ht="15" hidden="false" customHeight="false" outlineLevel="0" collapsed="false">
      <c r="A254" s="4" t="str">
        <f aca="false">IF($B254="","",ROW()-7)</f>
        <v/>
      </c>
      <c r="J254" s="9" t="str">
        <f aca="false">IF($H254="","",$H254*$I254)</f>
        <v/>
      </c>
    </row>
    <row r="255" customFormat="false" ht="15" hidden="false" customHeight="false" outlineLevel="0" collapsed="false">
      <c r="A255" s="4" t="str">
        <f aca="false">IF($B255="","",ROW()-7)</f>
        <v/>
      </c>
      <c r="J255" s="9" t="str">
        <f aca="false">IF($H255="","",$H255*$I255)</f>
        <v/>
      </c>
    </row>
    <row r="256" customFormat="false" ht="15" hidden="false" customHeight="false" outlineLevel="0" collapsed="false">
      <c r="A256" s="4" t="str">
        <f aca="false">IF($B256="","",ROW()-7)</f>
        <v/>
      </c>
      <c r="J256" s="9" t="str">
        <f aca="false">IF($H256="","",$H256*$I256)</f>
        <v/>
      </c>
    </row>
    <row r="257" customFormat="false" ht="15" hidden="false" customHeight="false" outlineLevel="0" collapsed="false">
      <c r="A257" s="4" t="str">
        <f aca="false">IF($B257="","",ROW()-7)</f>
        <v/>
      </c>
      <c r="J257" s="9" t="str">
        <f aca="false">IF($H257="","",$H257*$I257)</f>
        <v/>
      </c>
    </row>
    <row r="258" customFormat="false" ht="15" hidden="false" customHeight="false" outlineLevel="0" collapsed="false">
      <c r="A258" s="4" t="str">
        <f aca="false">IF($B258="","",ROW()-7)</f>
        <v/>
      </c>
      <c r="J258" s="9" t="str">
        <f aca="false">IF($H258="","",$H258*$I258)</f>
        <v/>
      </c>
    </row>
    <row r="259" customFormat="false" ht="15" hidden="false" customHeight="false" outlineLevel="0" collapsed="false">
      <c r="A259" s="4" t="str">
        <f aca="false">IF($B259="","",ROW()-7)</f>
        <v/>
      </c>
      <c r="J259" s="9" t="str">
        <f aca="false">IF($H259="","",$H259*$I259)</f>
        <v/>
      </c>
    </row>
    <row r="260" customFormat="false" ht="15" hidden="false" customHeight="false" outlineLevel="0" collapsed="false">
      <c r="A260" s="4" t="str">
        <f aca="false">IF($B260="","",ROW()-7)</f>
        <v/>
      </c>
      <c r="J260" s="9" t="str">
        <f aca="false">IF($H260="","",$H260*$I260)</f>
        <v/>
      </c>
    </row>
    <row r="261" customFormat="false" ht="15" hidden="false" customHeight="false" outlineLevel="0" collapsed="false">
      <c r="A261" s="4" t="str">
        <f aca="false">IF($B261="","",ROW()-7)</f>
        <v/>
      </c>
      <c r="J261" s="9" t="str">
        <f aca="false">IF($H261="","",$H261*$I261)</f>
        <v/>
      </c>
    </row>
    <row r="262" customFormat="false" ht="15" hidden="false" customHeight="false" outlineLevel="0" collapsed="false">
      <c r="A262" s="4" t="str">
        <f aca="false">IF($B262="","",ROW()-7)</f>
        <v/>
      </c>
      <c r="J262" s="9" t="str">
        <f aca="false">IF($H262="","",$H262*$I262)</f>
        <v/>
      </c>
    </row>
    <row r="263" customFormat="false" ht="15" hidden="false" customHeight="false" outlineLevel="0" collapsed="false">
      <c r="A263" s="4" t="str">
        <f aca="false">IF($B263="","",ROW()-7)</f>
        <v/>
      </c>
      <c r="J263" s="9" t="str">
        <f aca="false">IF($H263="","",$H263*$I263)</f>
        <v/>
      </c>
    </row>
    <row r="264" customFormat="false" ht="15" hidden="false" customHeight="false" outlineLevel="0" collapsed="false">
      <c r="A264" s="4" t="str">
        <f aca="false">IF($B264="","",ROW()-7)</f>
        <v/>
      </c>
      <c r="J264" s="9" t="str">
        <f aca="false">IF($H264="","",$H264*$I264)</f>
        <v/>
      </c>
    </row>
    <row r="265" customFormat="false" ht="15" hidden="false" customHeight="false" outlineLevel="0" collapsed="false">
      <c r="A265" s="4" t="str">
        <f aca="false">IF($B265="","",ROW()-7)</f>
        <v/>
      </c>
      <c r="J265" s="9" t="str">
        <f aca="false">IF($H265="","",$H265*$I265)</f>
        <v/>
      </c>
    </row>
    <row r="266" customFormat="false" ht="15" hidden="false" customHeight="false" outlineLevel="0" collapsed="false">
      <c r="A266" s="4" t="str">
        <f aca="false">IF($B266="","",ROW()-7)</f>
        <v/>
      </c>
      <c r="J266" s="9" t="str">
        <f aca="false">IF($H266="","",$H266*$I266)</f>
        <v/>
      </c>
    </row>
    <row r="267" customFormat="false" ht="15" hidden="false" customHeight="false" outlineLevel="0" collapsed="false">
      <c r="A267" s="4" t="str">
        <f aca="false">IF($B267="","",ROW()-7)</f>
        <v/>
      </c>
      <c r="J267" s="9" t="str">
        <f aca="false">IF($H267="","",$H267*$I267)</f>
        <v/>
      </c>
    </row>
    <row r="268" customFormat="false" ht="15" hidden="false" customHeight="false" outlineLevel="0" collapsed="false">
      <c r="A268" s="4" t="str">
        <f aca="false">IF($B268="","",ROW()-7)</f>
        <v/>
      </c>
      <c r="J268" s="9" t="str">
        <f aca="false">IF($H268="","",$H268*$I268)</f>
        <v/>
      </c>
    </row>
    <row r="269" customFormat="false" ht="15" hidden="false" customHeight="false" outlineLevel="0" collapsed="false">
      <c r="A269" s="4" t="str">
        <f aca="false">IF($B269="","",ROW()-7)</f>
        <v/>
      </c>
      <c r="J269" s="9" t="str">
        <f aca="false">IF($H269="","",$H269*$I269)</f>
        <v/>
      </c>
    </row>
    <row r="270" customFormat="false" ht="15" hidden="false" customHeight="false" outlineLevel="0" collapsed="false">
      <c r="A270" s="4" t="str">
        <f aca="false">IF($B270="","",ROW()-7)</f>
        <v/>
      </c>
      <c r="J270" s="9" t="str">
        <f aca="false">IF($H270="","",$H270*$I270)</f>
        <v/>
      </c>
    </row>
    <row r="271" customFormat="false" ht="15" hidden="false" customHeight="false" outlineLevel="0" collapsed="false">
      <c r="A271" s="4" t="str">
        <f aca="false">IF($B271="","",ROW()-7)</f>
        <v/>
      </c>
      <c r="J271" s="9" t="str">
        <f aca="false">IF($H271="","",$H271*$I271)</f>
        <v/>
      </c>
    </row>
    <row r="272" customFormat="false" ht="15" hidden="false" customHeight="false" outlineLevel="0" collapsed="false">
      <c r="A272" s="4" t="str">
        <f aca="false">IF($B272="","",ROW()-7)</f>
        <v/>
      </c>
      <c r="J272" s="9" t="str">
        <f aca="false">IF($H272="","",$H272*$I272)</f>
        <v/>
      </c>
    </row>
    <row r="273" customFormat="false" ht="15" hidden="false" customHeight="false" outlineLevel="0" collapsed="false">
      <c r="A273" s="4" t="str">
        <f aca="false">IF($B273="","",ROW()-7)</f>
        <v/>
      </c>
      <c r="J273" s="9" t="str">
        <f aca="false">IF($H273="","",$H273*$I273)</f>
        <v/>
      </c>
    </row>
    <row r="274" customFormat="false" ht="15" hidden="false" customHeight="false" outlineLevel="0" collapsed="false">
      <c r="A274" s="4" t="str">
        <f aca="false">IF($B274="","",ROW()-7)</f>
        <v/>
      </c>
      <c r="J274" s="9" t="str">
        <f aca="false">IF($H274="","",$H274*$I274)</f>
        <v/>
      </c>
    </row>
    <row r="275" customFormat="false" ht="15" hidden="false" customHeight="false" outlineLevel="0" collapsed="false">
      <c r="A275" s="4" t="str">
        <f aca="false">IF($B275="","",ROW()-7)</f>
        <v/>
      </c>
      <c r="J275" s="9" t="str">
        <f aca="false">IF($H275="","",$H275*$I275)</f>
        <v/>
      </c>
    </row>
    <row r="276" customFormat="false" ht="15" hidden="false" customHeight="false" outlineLevel="0" collapsed="false">
      <c r="A276" s="4" t="str">
        <f aca="false">IF($B276="","",ROW()-7)</f>
        <v/>
      </c>
      <c r="J276" s="9" t="str">
        <f aca="false">IF($H276="","",$H276*$I276)</f>
        <v/>
      </c>
    </row>
    <row r="277" customFormat="false" ht="15" hidden="false" customHeight="false" outlineLevel="0" collapsed="false">
      <c r="A277" s="4" t="str">
        <f aca="false">IF($B277="","",ROW()-7)</f>
        <v/>
      </c>
      <c r="J277" s="9" t="str">
        <f aca="false">IF($H277="","",$H277*$I277)</f>
        <v/>
      </c>
    </row>
    <row r="278" customFormat="false" ht="15" hidden="false" customHeight="false" outlineLevel="0" collapsed="false">
      <c r="A278" s="4" t="str">
        <f aca="false">IF($B278="","",ROW()-7)</f>
        <v/>
      </c>
      <c r="J278" s="9" t="str">
        <f aca="false">IF($H278="","",$H278*$I278)</f>
        <v/>
      </c>
    </row>
    <row r="279" customFormat="false" ht="15" hidden="false" customHeight="false" outlineLevel="0" collapsed="false">
      <c r="A279" s="4" t="str">
        <f aca="false">IF($B279="","",ROW()-7)</f>
        <v/>
      </c>
      <c r="J279" s="9" t="str">
        <f aca="false">IF($H279="","",$H279*$I279)</f>
        <v/>
      </c>
    </row>
    <row r="280" customFormat="false" ht="15" hidden="false" customHeight="false" outlineLevel="0" collapsed="false">
      <c r="A280" s="4" t="str">
        <f aca="false">IF($B280="","",ROW()-7)</f>
        <v/>
      </c>
      <c r="J280" s="9" t="str">
        <f aca="false">IF($H280="","",$H280*$I280)</f>
        <v/>
      </c>
    </row>
    <row r="281" customFormat="false" ht="15" hidden="false" customHeight="false" outlineLevel="0" collapsed="false">
      <c r="A281" s="4" t="str">
        <f aca="false">IF($B281="","",ROW()-7)</f>
        <v/>
      </c>
      <c r="J281" s="9" t="str">
        <f aca="false">IF($H281="","",$H281*$I281)</f>
        <v/>
      </c>
    </row>
    <row r="282" customFormat="false" ht="15" hidden="false" customHeight="false" outlineLevel="0" collapsed="false">
      <c r="A282" s="4" t="str">
        <f aca="false">IF($B282="","",ROW()-7)</f>
        <v/>
      </c>
      <c r="J282" s="9" t="str">
        <f aca="false">IF($H282="","",$H282*$I282)</f>
        <v/>
      </c>
    </row>
    <row r="283" customFormat="false" ht="15" hidden="false" customHeight="false" outlineLevel="0" collapsed="false">
      <c r="A283" s="4" t="str">
        <f aca="false">IF($B283="","",ROW()-7)</f>
        <v/>
      </c>
      <c r="J283" s="9" t="str">
        <f aca="false">IF($H283="","",$H283*$I283)</f>
        <v/>
      </c>
    </row>
    <row r="284" customFormat="false" ht="15" hidden="false" customHeight="false" outlineLevel="0" collapsed="false">
      <c r="A284" s="4" t="str">
        <f aca="false">IF($B284="","",ROW()-7)</f>
        <v/>
      </c>
      <c r="J284" s="9" t="str">
        <f aca="false">IF($H284="","",$H284*$I284)</f>
        <v/>
      </c>
    </row>
    <row r="285" customFormat="false" ht="15" hidden="false" customHeight="false" outlineLevel="0" collapsed="false">
      <c r="A285" s="4" t="str">
        <f aca="false">IF($B285="","",ROW()-7)</f>
        <v/>
      </c>
      <c r="J285" s="9" t="str">
        <f aca="false">IF($H285="","",$H285*$I285)</f>
        <v/>
      </c>
    </row>
    <row r="286" customFormat="false" ht="15" hidden="false" customHeight="false" outlineLevel="0" collapsed="false">
      <c r="A286" s="4" t="str">
        <f aca="false">IF($B286="","",ROW()-7)</f>
        <v/>
      </c>
      <c r="J286" s="9" t="str">
        <f aca="false">IF($H286="","",$H286*$I286)</f>
        <v/>
      </c>
    </row>
    <row r="287" customFormat="false" ht="15" hidden="false" customHeight="false" outlineLevel="0" collapsed="false">
      <c r="A287" s="4" t="str">
        <f aca="false">IF($B287="","",ROW()-7)</f>
        <v/>
      </c>
      <c r="J287" s="9" t="str">
        <f aca="false">IF($H287="","",$H287*$I287)</f>
        <v/>
      </c>
    </row>
    <row r="288" customFormat="false" ht="15" hidden="false" customHeight="false" outlineLevel="0" collapsed="false">
      <c r="A288" s="4" t="str">
        <f aca="false">IF($B288="","",ROW()-7)</f>
        <v/>
      </c>
      <c r="J288" s="9" t="str">
        <f aca="false">IF($H288="","",$H288*$I288)</f>
        <v/>
      </c>
    </row>
    <row r="289" customFormat="false" ht="15" hidden="false" customHeight="false" outlineLevel="0" collapsed="false">
      <c r="A289" s="4" t="str">
        <f aca="false">IF($B289="","",ROW()-7)</f>
        <v/>
      </c>
      <c r="J289" s="9" t="str">
        <f aca="false">IF($H289="","",$H289*$I289)</f>
        <v/>
      </c>
    </row>
    <row r="290" customFormat="false" ht="15" hidden="false" customHeight="false" outlineLevel="0" collapsed="false">
      <c r="A290" s="4" t="str">
        <f aca="false">IF($B290="","",ROW()-7)</f>
        <v/>
      </c>
      <c r="J290" s="9" t="str">
        <f aca="false">IF($H290="","",$H290*$I290)</f>
        <v/>
      </c>
    </row>
    <row r="291" customFormat="false" ht="15" hidden="false" customHeight="false" outlineLevel="0" collapsed="false">
      <c r="A291" s="4" t="str">
        <f aca="false">IF($B291="","",ROW()-7)</f>
        <v/>
      </c>
      <c r="J291" s="9" t="str">
        <f aca="false">IF($H291="","",$H291*$I291)</f>
        <v/>
      </c>
    </row>
    <row r="292" customFormat="false" ht="15" hidden="false" customHeight="false" outlineLevel="0" collapsed="false">
      <c r="A292" s="4" t="str">
        <f aca="false">IF($B292="","",ROW()-7)</f>
        <v/>
      </c>
      <c r="J292" s="9" t="str">
        <f aca="false">IF($H292="","",$H292*$I292)</f>
        <v/>
      </c>
    </row>
    <row r="293" customFormat="false" ht="15" hidden="false" customHeight="false" outlineLevel="0" collapsed="false">
      <c r="A293" s="4" t="str">
        <f aca="false">IF($B293="","",ROW()-7)</f>
        <v/>
      </c>
      <c r="J293" s="9" t="str">
        <f aca="false">IF($H293="","",$H293*$I293)</f>
        <v/>
      </c>
    </row>
    <row r="294" customFormat="false" ht="15" hidden="false" customHeight="false" outlineLevel="0" collapsed="false">
      <c r="A294" s="4" t="str">
        <f aca="false">IF($B294="","",ROW()-7)</f>
        <v/>
      </c>
      <c r="J294" s="9" t="str">
        <f aca="false">IF($H294="","",$H294*$I294)</f>
        <v/>
      </c>
    </row>
    <row r="295" customFormat="false" ht="15" hidden="false" customHeight="false" outlineLevel="0" collapsed="false">
      <c r="A295" s="4" t="str">
        <f aca="false">IF($B295="","",ROW()-7)</f>
        <v/>
      </c>
      <c r="J295" s="9" t="str">
        <f aca="false">IF($H295="","",$H295*$I295)</f>
        <v/>
      </c>
    </row>
    <row r="296" customFormat="false" ht="15" hidden="false" customHeight="false" outlineLevel="0" collapsed="false">
      <c r="A296" s="4" t="str">
        <f aca="false">IF($B296="","",ROW()-7)</f>
        <v/>
      </c>
      <c r="J296" s="9" t="str">
        <f aca="false">IF($H296="","",$H296*$I296)</f>
        <v/>
      </c>
    </row>
    <row r="297" customFormat="false" ht="15" hidden="false" customHeight="false" outlineLevel="0" collapsed="false">
      <c r="A297" s="4" t="str">
        <f aca="false">IF($B297="","",ROW()-7)</f>
        <v/>
      </c>
      <c r="J297" s="9" t="str">
        <f aca="false">IF($H297="","",$H297*$I297)</f>
        <v/>
      </c>
    </row>
    <row r="298" customFormat="false" ht="15" hidden="false" customHeight="false" outlineLevel="0" collapsed="false">
      <c r="A298" s="4" t="str">
        <f aca="false">IF($B298="","",ROW()-7)</f>
        <v/>
      </c>
      <c r="J298" s="9" t="str">
        <f aca="false">IF($H298="","",$H298*$I298)</f>
        <v/>
      </c>
    </row>
    <row r="299" customFormat="false" ht="15" hidden="false" customHeight="false" outlineLevel="0" collapsed="false">
      <c r="A299" s="4" t="str">
        <f aca="false">IF($B299="","",ROW()-7)</f>
        <v/>
      </c>
      <c r="J299" s="9" t="str">
        <f aca="false">IF($H299="","",$H299*$I299)</f>
        <v/>
      </c>
    </row>
    <row r="300" customFormat="false" ht="15" hidden="false" customHeight="false" outlineLevel="0" collapsed="false">
      <c r="A300" s="4" t="str">
        <f aca="false">IF($B300="","",ROW()-7)</f>
        <v/>
      </c>
      <c r="J300" s="9" t="str">
        <f aca="false">IF($H300="","",$H300*$I300)</f>
        <v/>
      </c>
    </row>
    <row r="301" customFormat="false" ht="15" hidden="false" customHeight="false" outlineLevel="0" collapsed="false">
      <c r="A301" s="4" t="str">
        <f aca="false">IF($B301="","",ROW()-7)</f>
        <v/>
      </c>
      <c r="J301" s="9" t="str">
        <f aca="false">IF($H301="","",$H301*$I301)</f>
        <v/>
      </c>
    </row>
    <row r="302" customFormat="false" ht="15" hidden="false" customHeight="false" outlineLevel="0" collapsed="false">
      <c r="A302" s="4" t="str">
        <f aca="false">IF($B302="","",ROW()-7)</f>
        <v/>
      </c>
      <c r="J302" s="9" t="str">
        <f aca="false">IF($H302="","",$H302*$I302)</f>
        <v/>
      </c>
    </row>
    <row r="303" customFormat="false" ht="15" hidden="false" customHeight="false" outlineLevel="0" collapsed="false">
      <c r="A303" s="4" t="str">
        <f aca="false">IF($B303="","",ROW()-7)</f>
        <v/>
      </c>
      <c r="J303" s="9" t="str">
        <f aca="false">IF($H303="","",$H303*$I303)</f>
        <v/>
      </c>
    </row>
    <row r="304" customFormat="false" ht="15" hidden="false" customHeight="false" outlineLevel="0" collapsed="false">
      <c r="A304" s="4" t="str">
        <f aca="false">IF($B304="","",ROW()-7)</f>
        <v/>
      </c>
      <c r="J304" s="9" t="str">
        <f aca="false">IF($H304="","",$H304*$I304)</f>
        <v/>
      </c>
    </row>
    <row r="305" customFormat="false" ht="15" hidden="false" customHeight="false" outlineLevel="0" collapsed="false">
      <c r="A305" s="4" t="str">
        <f aca="false">IF($B305="","",ROW()-7)</f>
        <v/>
      </c>
      <c r="J305" s="9" t="str">
        <f aca="false">IF($H305="","",$H305*$I305)</f>
        <v/>
      </c>
    </row>
    <row r="306" customFormat="false" ht="15" hidden="false" customHeight="false" outlineLevel="0" collapsed="false">
      <c r="A306" s="4" t="str">
        <f aca="false">IF($B306="","",ROW()-7)</f>
        <v/>
      </c>
      <c r="J306" s="9" t="str">
        <f aca="false">IF($H306="","",$H306*$I306)</f>
        <v/>
      </c>
    </row>
    <row r="307" customFormat="false" ht="15" hidden="false" customHeight="false" outlineLevel="0" collapsed="false">
      <c r="A307" s="4" t="str">
        <f aca="false">IF($B307="","",ROW()-7)</f>
        <v/>
      </c>
      <c r="J307" s="9" t="str">
        <f aca="false">IF($H307="","",$H307*$I307)</f>
        <v/>
      </c>
    </row>
    <row r="308" customFormat="false" ht="15" hidden="false" customHeight="false" outlineLevel="0" collapsed="false">
      <c r="A308" s="4" t="str">
        <f aca="false">IF($B308="","",ROW()-7)</f>
        <v/>
      </c>
      <c r="J308" s="9" t="str">
        <f aca="false">IF($H308="","",$H308*$I308)</f>
        <v/>
      </c>
    </row>
    <row r="309" customFormat="false" ht="15" hidden="false" customHeight="false" outlineLevel="0" collapsed="false">
      <c r="A309" s="4" t="str">
        <f aca="false">IF($B309="","",ROW()-7)</f>
        <v/>
      </c>
      <c r="J309" s="9" t="str">
        <f aca="false">IF($H309="","",$H309*$I309)</f>
        <v/>
      </c>
    </row>
    <row r="310" customFormat="false" ht="15" hidden="false" customHeight="false" outlineLevel="0" collapsed="false">
      <c r="A310" s="4" t="str">
        <f aca="false">IF($B310="","",ROW()-7)</f>
        <v/>
      </c>
      <c r="J310" s="9" t="str">
        <f aca="false">IF($H310="","",$H310*$I310)</f>
        <v/>
      </c>
    </row>
    <row r="311" customFormat="false" ht="15" hidden="false" customHeight="false" outlineLevel="0" collapsed="false">
      <c r="A311" s="4" t="str">
        <f aca="false">IF($B311="","",ROW()-7)</f>
        <v/>
      </c>
      <c r="J311" s="9" t="str">
        <f aca="false">IF($H311="","",$H311*$I311)</f>
        <v/>
      </c>
    </row>
    <row r="312" customFormat="false" ht="15" hidden="false" customHeight="false" outlineLevel="0" collapsed="false">
      <c r="A312" s="4" t="str">
        <f aca="false">IF($B312="","",ROW()-7)</f>
        <v/>
      </c>
      <c r="J312" s="9" t="str">
        <f aca="false">IF($H312="","",$H312*$I312)</f>
        <v/>
      </c>
    </row>
    <row r="313" customFormat="false" ht="15" hidden="false" customHeight="false" outlineLevel="0" collapsed="false">
      <c r="A313" s="4" t="str">
        <f aca="false">IF($B313="","",ROW()-7)</f>
        <v/>
      </c>
      <c r="J313" s="9" t="str">
        <f aca="false">IF($H313="","",$H313*$I313)</f>
        <v/>
      </c>
    </row>
    <row r="314" customFormat="false" ht="15" hidden="false" customHeight="false" outlineLevel="0" collapsed="false">
      <c r="A314" s="4" t="str">
        <f aca="false">IF($B314="","",ROW()-7)</f>
        <v/>
      </c>
      <c r="J314" s="9" t="str">
        <f aca="false">IF($H314="","",$H314*$I314)</f>
        <v/>
      </c>
    </row>
    <row r="315" customFormat="false" ht="15" hidden="false" customHeight="false" outlineLevel="0" collapsed="false">
      <c r="A315" s="4" t="str">
        <f aca="false">IF($B315="","",ROW()-7)</f>
        <v/>
      </c>
      <c r="J315" s="9" t="str">
        <f aca="false">IF($H315="","",$H315*$I315)</f>
        <v/>
      </c>
    </row>
    <row r="316" customFormat="false" ht="15" hidden="false" customHeight="false" outlineLevel="0" collapsed="false">
      <c r="A316" s="4" t="str">
        <f aca="false">IF($B316="","",ROW()-7)</f>
        <v/>
      </c>
      <c r="J316" s="9" t="str">
        <f aca="false">IF($H316="","",$H316*$I316)</f>
        <v/>
      </c>
    </row>
    <row r="317" customFormat="false" ht="15" hidden="false" customHeight="false" outlineLevel="0" collapsed="false">
      <c r="A317" s="4" t="str">
        <f aca="false">IF($B317="","",ROW()-7)</f>
        <v/>
      </c>
      <c r="J317" s="9" t="str">
        <f aca="false">IF($H317="","",$H317*$I317)</f>
        <v/>
      </c>
    </row>
    <row r="318" customFormat="false" ht="15" hidden="false" customHeight="false" outlineLevel="0" collapsed="false">
      <c r="A318" s="4" t="str">
        <f aca="false">IF($B318="","",ROW()-7)</f>
        <v/>
      </c>
      <c r="J318" s="9" t="str">
        <f aca="false">IF($H318="","",$H318*$I318)</f>
        <v/>
      </c>
    </row>
    <row r="319" customFormat="false" ht="15" hidden="false" customHeight="false" outlineLevel="0" collapsed="false">
      <c r="A319" s="4" t="str">
        <f aca="false">IF($B319="","",ROW()-7)</f>
        <v/>
      </c>
      <c r="J319" s="9" t="str">
        <f aca="false">IF($H319="","",$H319*$I319)</f>
        <v/>
      </c>
    </row>
    <row r="320" customFormat="false" ht="15" hidden="false" customHeight="false" outlineLevel="0" collapsed="false">
      <c r="A320" s="4" t="str">
        <f aca="false">IF($B320="","",ROW()-7)</f>
        <v/>
      </c>
      <c r="J320" s="9" t="str">
        <f aca="false">IF($H320="","",$H320*$I320)</f>
        <v/>
      </c>
    </row>
    <row r="321" customFormat="false" ht="15" hidden="false" customHeight="false" outlineLevel="0" collapsed="false">
      <c r="A321" s="4" t="str">
        <f aca="false">IF($B321="","",ROW()-7)</f>
        <v/>
      </c>
      <c r="J321" s="9" t="str">
        <f aca="false">IF($H321="","",$H321*$I321)</f>
        <v/>
      </c>
    </row>
    <row r="322" customFormat="false" ht="15" hidden="false" customHeight="false" outlineLevel="0" collapsed="false">
      <c r="A322" s="4" t="str">
        <f aca="false">IF($B322="","",ROW()-7)</f>
        <v/>
      </c>
      <c r="J322" s="9" t="str">
        <f aca="false">IF($H322="","",$H322*$I322)</f>
        <v/>
      </c>
    </row>
    <row r="323" customFormat="false" ht="15" hidden="false" customHeight="false" outlineLevel="0" collapsed="false">
      <c r="A323" s="4" t="str">
        <f aca="false">IF($B323="","",ROW()-7)</f>
        <v/>
      </c>
      <c r="J323" s="9" t="str">
        <f aca="false">IF($H323="","",$H323*$I323)</f>
        <v/>
      </c>
    </row>
    <row r="324" customFormat="false" ht="15" hidden="false" customHeight="false" outlineLevel="0" collapsed="false">
      <c r="A324" s="4" t="str">
        <f aca="false">IF($B324="","",ROW()-7)</f>
        <v/>
      </c>
      <c r="J324" s="9" t="str">
        <f aca="false">IF($H324="","",$H324*$I324)</f>
        <v/>
      </c>
    </row>
    <row r="325" customFormat="false" ht="15" hidden="false" customHeight="false" outlineLevel="0" collapsed="false">
      <c r="A325" s="4" t="str">
        <f aca="false">IF($B325="","",ROW()-7)</f>
        <v/>
      </c>
      <c r="J325" s="9" t="str">
        <f aca="false">IF($H325="","",$H325*$I325)</f>
        <v/>
      </c>
    </row>
    <row r="326" customFormat="false" ht="15" hidden="false" customHeight="false" outlineLevel="0" collapsed="false">
      <c r="A326" s="4" t="str">
        <f aca="false">IF($B326="","",ROW()-7)</f>
        <v/>
      </c>
      <c r="J326" s="9" t="str">
        <f aca="false">IF($H326="","",$H326*$I326)</f>
        <v/>
      </c>
    </row>
    <row r="327" customFormat="false" ht="15" hidden="false" customHeight="false" outlineLevel="0" collapsed="false">
      <c r="A327" s="4" t="str">
        <f aca="false">IF($B327="","",ROW()-7)</f>
        <v/>
      </c>
      <c r="J327" s="9" t="str">
        <f aca="false">IF($H327="","",$H327*$I327)</f>
        <v/>
      </c>
    </row>
    <row r="328" customFormat="false" ht="15" hidden="false" customHeight="false" outlineLevel="0" collapsed="false">
      <c r="A328" s="4" t="str">
        <f aca="false">IF($B328="","",ROW()-7)</f>
        <v/>
      </c>
      <c r="J328" s="9" t="str">
        <f aca="false">IF($H328="","",$H328*$I328)</f>
        <v/>
      </c>
    </row>
    <row r="329" customFormat="false" ht="15" hidden="false" customHeight="false" outlineLevel="0" collapsed="false">
      <c r="A329" s="4" t="str">
        <f aca="false">IF($B329="","",ROW()-7)</f>
        <v/>
      </c>
      <c r="J329" s="9" t="str">
        <f aca="false">IF($H329="","",$H329*$I329)</f>
        <v/>
      </c>
    </row>
    <row r="330" customFormat="false" ht="15" hidden="false" customHeight="false" outlineLevel="0" collapsed="false">
      <c r="A330" s="4" t="str">
        <f aca="false">IF($B330="","",ROW()-7)</f>
        <v/>
      </c>
      <c r="J330" s="9" t="str">
        <f aca="false">IF($H330="","",$H330*$I330)</f>
        <v/>
      </c>
    </row>
    <row r="331" customFormat="false" ht="15" hidden="false" customHeight="false" outlineLevel="0" collapsed="false">
      <c r="A331" s="4" t="str">
        <f aca="false">IF($B331="","",ROW()-7)</f>
        <v/>
      </c>
      <c r="J331" s="9" t="str">
        <f aca="false">IF($H331="","",$H331*$I331)</f>
        <v/>
      </c>
    </row>
    <row r="332" customFormat="false" ht="15" hidden="false" customHeight="false" outlineLevel="0" collapsed="false">
      <c r="A332" s="4" t="str">
        <f aca="false">IF($B332="","",ROW()-7)</f>
        <v/>
      </c>
      <c r="J332" s="9" t="str">
        <f aca="false">IF($H332="","",$H332*$I332)</f>
        <v/>
      </c>
    </row>
    <row r="333" customFormat="false" ht="15" hidden="false" customHeight="false" outlineLevel="0" collapsed="false">
      <c r="A333" s="4" t="str">
        <f aca="false">IF($B333="","",ROW()-7)</f>
        <v/>
      </c>
      <c r="J333" s="9" t="str">
        <f aca="false">IF($H333="","",$H333*$I333)</f>
        <v/>
      </c>
    </row>
    <row r="334" customFormat="false" ht="15" hidden="false" customHeight="false" outlineLevel="0" collapsed="false">
      <c r="A334" s="4" t="str">
        <f aca="false">IF($B334="","",ROW()-7)</f>
        <v/>
      </c>
      <c r="J334" s="9" t="str">
        <f aca="false">IF($H334="","",$H334*$I334)</f>
        <v/>
      </c>
    </row>
    <row r="335" customFormat="false" ht="15" hidden="false" customHeight="false" outlineLevel="0" collapsed="false">
      <c r="A335" s="4" t="str">
        <f aca="false">IF($B335="","",ROW()-7)</f>
        <v/>
      </c>
      <c r="J335" s="9" t="str">
        <f aca="false">IF($H335="","",$H335*$I335)</f>
        <v/>
      </c>
    </row>
    <row r="336" customFormat="false" ht="15" hidden="false" customHeight="false" outlineLevel="0" collapsed="false">
      <c r="A336" s="4" t="str">
        <f aca="false">IF($B336="","",ROW()-7)</f>
        <v/>
      </c>
      <c r="J336" s="9" t="str">
        <f aca="false">IF($H336="","",$H336*$I336)</f>
        <v/>
      </c>
    </row>
    <row r="337" customFormat="false" ht="15" hidden="false" customHeight="false" outlineLevel="0" collapsed="false">
      <c r="A337" s="4" t="str">
        <f aca="false">IF($B337="","",ROW()-7)</f>
        <v/>
      </c>
      <c r="J337" s="9" t="str">
        <f aca="false">IF($H337="","",$H337*$I337)</f>
        <v/>
      </c>
    </row>
    <row r="338" customFormat="false" ht="15" hidden="false" customHeight="false" outlineLevel="0" collapsed="false">
      <c r="A338" s="4" t="str">
        <f aca="false">IF($B338="","",ROW()-7)</f>
        <v/>
      </c>
      <c r="J338" s="9" t="str">
        <f aca="false">IF($H338="","",$H338*$I338)</f>
        <v/>
      </c>
    </row>
    <row r="339" customFormat="false" ht="15" hidden="false" customHeight="false" outlineLevel="0" collapsed="false">
      <c r="A339" s="4" t="str">
        <f aca="false">IF($B339="","",ROW()-7)</f>
        <v/>
      </c>
      <c r="J339" s="9" t="str">
        <f aca="false">IF($H339="","",$H339*$I339)</f>
        <v/>
      </c>
    </row>
    <row r="340" customFormat="false" ht="15" hidden="false" customHeight="false" outlineLevel="0" collapsed="false">
      <c r="A340" s="4" t="str">
        <f aca="false">IF($B340="","",ROW()-7)</f>
        <v/>
      </c>
      <c r="J340" s="9" t="str">
        <f aca="false">IF($H340="","",$H340*$I340)</f>
        <v/>
      </c>
    </row>
    <row r="341" customFormat="false" ht="15" hidden="false" customHeight="false" outlineLevel="0" collapsed="false">
      <c r="A341" s="4" t="str">
        <f aca="false">IF($B341="","",ROW()-7)</f>
        <v/>
      </c>
      <c r="J341" s="9" t="str">
        <f aca="false">IF($H341="","",$H341*$I341)</f>
        <v/>
      </c>
    </row>
    <row r="342" customFormat="false" ht="15" hidden="false" customHeight="false" outlineLevel="0" collapsed="false">
      <c r="A342" s="4" t="str">
        <f aca="false">IF($B342="","",ROW()-7)</f>
        <v/>
      </c>
      <c r="J342" s="9" t="str">
        <f aca="false">IF($H342="","",$H342*$I342)</f>
        <v/>
      </c>
    </row>
    <row r="343" customFormat="false" ht="15" hidden="false" customHeight="false" outlineLevel="0" collapsed="false">
      <c r="A343" s="4" t="str">
        <f aca="false">IF($B343="","",ROW()-7)</f>
        <v/>
      </c>
      <c r="J343" s="9" t="str">
        <f aca="false">IF($H343="","",$H343*$I343)</f>
        <v/>
      </c>
    </row>
    <row r="344" customFormat="false" ht="15" hidden="false" customHeight="false" outlineLevel="0" collapsed="false">
      <c r="A344" s="4" t="str">
        <f aca="false">IF($B344="","",ROW()-7)</f>
        <v/>
      </c>
      <c r="J344" s="9" t="str">
        <f aca="false">IF($H344="","",$H344*$I344)</f>
        <v/>
      </c>
    </row>
    <row r="345" customFormat="false" ht="15" hidden="false" customHeight="false" outlineLevel="0" collapsed="false">
      <c r="A345" s="4" t="str">
        <f aca="false">IF($B345="","",ROW()-7)</f>
        <v/>
      </c>
      <c r="J345" s="9" t="str">
        <f aca="false">IF($H345="","",$H345*$I345)</f>
        <v/>
      </c>
    </row>
    <row r="346" customFormat="false" ht="15" hidden="false" customHeight="false" outlineLevel="0" collapsed="false">
      <c r="A346" s="4" t="str">
        <f aca="false">IF($B346="","",ROW()-7)</f>
        <v/>
      </c>
      <c r="J346" s="9" t="str">
        <f aca="false">IF($H346="","",$H346*$I346)</f>
        <v/>
      </c>
    </row>
    <row r="347" customFormat="false" ht="15" hidden="false" customHeight="false" outlineLevel="0" collapsed="false">
      <c r="A347" s="4" t="str">
        <f aca="false">IF($B347="","",ROW()-7)</f>
        <v/>
      </c>
      <c r="J347" s="9" t="str">
        <f aca="false">IF($H347="","",$H347*$I347)</f>
        <v/>
      </c>
    </row>
    <row r="348" customFormat="false" ht="15" hidden="false" customHeight="false" outlineLevel="0" collapsed="false">
      <c r="A348" s="4" t="str">
        <f aca="false">IF($B348="","",ROW()-7)</f>
        <v/>
      </c>
      <c r="J348" s="9" t="str">
        <f aca="false">IF($H348="","",$H348*$I348)</f>
        <v/>
      </c>
    </row>
    <row r="349" customFormat="false" ht="15" hidden="false" customHeight="false" outlineLevel="0" collapsed="false">
      <c r="A349" s="4" t="str">
        <f aca="false">IF($B349="","",ROW()-7)</f>
        <v/>
      </c>
      <c r="J349" s="9" t="str">
        <f aca="false">IF($H349="","",$H349*$I349)</f>
        <v/>
      </c>
    </row>
    <row r="350" customFormat="false" ht="15" hidden="false" customHeight="false" outlineLevel="0" collapsed="false">
      <c r="A350" s="4" t="str">
        <f aca="false">IF($B350="","",ROW()-7)</f>
        <v/>
      </c>
      <c r="J350" s="9" t="str">
        <f aca="false">IF($H350="","",$H350*$I350)</f>
        <v/>
      </c>
    </row>
    <row r="351" customFormat="false" ht="15" hidden="false" customHeight="false" outlineLevel="0" collapsed="false">
      <c r="A351" s="4" t="str">
        <f aca="false">IF($B351="","",ROW()-7)</f>
        <v/>
      </c>
      <c r="J351" s="9" t="str">
        <f aca="false">IF($H351="","",$H351*$I351)</f>
        <v/>
      </c>
    </row>
    <row r="352" customFormat="false" ht="15" hidden="false" customHeight="false" outlineLevel="0" collapsed="false">
      <c r="A352" s="4" t="str">
        <f aca="false">IF($B352="","",ROW()-7)</f>
        <v/>
      </c>
      <c r="J352" s="9" t="str">
        <f aca="false">IF($H352="","",$H352*$I352)</f>
        <v/>
      </c>
    </row>
    <row r="353" customFormat="false" ht="15" hidden="false" customHeight="false" outlineLevel="0" collapsed="false">
      <c r="A353" s="4" t="str">
        <f aca="false">IF($B353="","",ROW()-7)</f>
        <v/>
      </c>
      <c r="J353" s="9" t="str">
        <f aca="false">IF($H353="","",$H353*$I353)</f>
        <v/>
      </c>
    </row>
    <row r="354" customFormat="false" ht="15" hidden="false" customHeight="false" outlineLevel="0" collapsed="false">
      <c r="A354" s="4" t="str">
        <f aca="false">IF($B354="","",ROW()-7)</f>
        <v/>
      </c>
      <c r="J354" s="9" t="str">
        <f aca="false">IF($H354="","",$H354*$I354)</f>
        <v/>
      </c>
    </row>
    <row r="355" customFormat="false" ht="15" hidden="false" customHeight="false" outlineLevel="0" collapsed="false">
      <c r="A355" s="4" t="str">
        <f aca="false">IF($B355="","",ROW()-7)</f>
        <v/>
      </c>
      <c r="J355" s="9" t="str">
        <f aca="false">IF($H355="","",$H355*$I355)</f>
        <v/>
      </c>
    </row>
    <row r="356" customFormat="false" ht="15" hidden="false" customHeight="false" outlineLevel="0" collapsed="false">
      <c r="A356" s="4" t="str">
        <f aca="false">IF($B356="","",ROW()-7)</f>
        <v/>
      </c>
      <c r="J356" s="9" t="str">
        <f aca="false">IF($H356="","",$H356*$I356)</f>
        <v/>
      </c>
    </row>
    <row r="357" customFormat="false" ht="15" hidden="false" customHeight="false" outlineLevel="0" collapsed="false">
      <c r="A357" s="4" t="str">
        <f aca="false">IF($B357="","",ROW()-7)</f>
        <v/>
      </c>
      <c r="J357" s="9" t="str">
        <f aca="false">IF($H357="","",$H357*$I357)</f>
        <v/>
      </c>
    </row>
    <row r="358" customFormat="false" ht="15" hidden="false" customHeight="false" outlineLevel="0" collapsed="false">
      <c r="A358" s="4" t="str">
        <f aca="false">IF($B358="","",ROW()-7)</f>
        <v/>
      </c>
      <c r="J358" s="9" t="str">
        <f aca="false">IF($H358="","",$H358*$I358)</f>
        <v/>
      </c>
    </row>
    <row r="359" customFormat="false" ht="15" hidden="false" customHeight="false" outlineLevel="0" collapsed="false">
      <c r="A359" s="4" t="str">
        <f aca="false">IF($B359="","",ROW()-7)</f>
        <v/>
      </c>
      <c r="J359" s="9" t="str">
        <f aca="false">IF($H359="","",$H359*$I359)</f>
        <v/>
      </c>
    </row>
    <row r="360" customFormat="false" ht="15" hidden="false" customHeight="false" outlineLevel="0" collapsed="false">
      <c r="A360" s="4" t="str">
        <f aca="false">IF($B360="","",ROW()-7)</f>
        <v/>
      </c>
      <c r="J360" s="9" t="str">
        <f aca="false">IF($H360="","",$H360*$I360)</f>
        <v/>
      </c>
    </row>
    <row r="361" customFormat="false" ht="15" hidden="false" customHeight="false" outlineLevel="0" collapsed="false">
      <c r="A361" s="4" t="str">
        <f aca="false">IF($B361="","",ROW()-7)</f>
        <v/>
      </c>
      <c r="J361" s="9" t="str">
        <f aca="false">IF($H361="","",$H361*$I361)</f>
        <v/>
      </c>
    </row>
    <row r="362" customFormat="false" ht="15" hidden="false" customHeight="false" outlineLevel="0" collapsed="false">
      <c r="A362" s="4" t="str">
        <f aca="false">IF($B362="","",ROW()-7)</f>
        <v/>
      </c>
      <c r="J362" s="9" t="str">
        <f aca="false">IF($H362="","",$H362*$I362)</f>
        <v/>
      </c>
    </row>
    <row r="363" customFormat="false" ht="15" hidden="false" customHeight="false" outlineLevel="0" collapsed="false">
      <c r="A363" s="4" t="str">
        <f aca="false">IF($B363="","",ROW()-7)</f>
        <v/>
      </c>
      <c r="J363" s="9" t="str">
        <f aca="false">IF($H363="","",$H363*$I363)</f>
        <v/>
      </c>
    </row>
    <row r="364" customFormat="false" ht="15" hidden="false" customHeight="false" outlineLevel="0" collapsed="false">
      <c r="A364" s="4" t="str">
        <f aca="false">IF($B364="","",ROW()-7)</f>
        <v/>
      </c>
      <c r="J364" s="9" t="str">
        <f aca="false">IF($H364="","",$H364*$I364)</f>
        <v/>
      </c>
    </row>
    <row r="365" customFormat="false" ht="15" hidden="false" customHeight="false" outlineLevel="0" collapsed="false">
      <c r="A365" s="4" t="str">
        <f aca="false">IF($B365="","",ROW()-7)</f>
        <v/>
      </c>
      <c r="J365" s="9" t="str">
        <f aca="false">IF($H365="","",$H365*$I365)</f>
        <v/>
      </c>
    </row>
    <row r="366" customFormat="false" ht="15" hidden="false" customHeight="false" outlineLevel="0" collapsed="false">
      <c r="A366" s="4" t="str">
        <f aca="false">IF($B366="","",ROW()-7)</f>
        <v/>
      </c>
      <c r="J366" s="9" t="str">
        <f aca="false">IF($H366="","",$H366*$I366)</f>
        <v/>
      </c>
    </row>
    <row r="367" customFormat="false" ht="15" hidden="false" customHeight="false" outlineLevel="0" collapsed="false">
      <c r="A367" s="4" t="str">
        <f aca="false">IF($B367="","",ROW()-7)</f>
        <v/>
      </c>
      <c r="J367" s="9" t="str">
        <f aca="false">IF($H367="","",$H367*$I367)</f>
        <v/>
      </c>
    </row>
    <row r="368" customFormat="false" ht="15" hidden="false" customHeight="false" outlineLevel="0" collapsed="false">
      <c r="A368" s="4" t="str">
        <f aca="false">IF($B368="","",ROW()-7)</f>
        <v/>
      </c>
      <c r="J368" s="9" t="str">
        <f aca="false">IF($H368="","",$H368*$I368)</f>
        <v/>
      </c>
    </row>
    <row r="369" customFormat="false" ht="15" hidden="false" customHeight="false" outlineLevel="0" collapsed="false">
      <c r="A369" s="4" t="str">
        <f aca="false">IF($B369="","",ROW()-7)</f>
        <v/>
      </c>
      <c r="J369" s="9" t="str">
        <f aca="false">IF($H369="","",$H369*$I369)</f>
        <v/>
      </c>
    </row>
    <row r="370" customFormat="false" ht="15" hidden="false" customHeight="false" outlineLevel="0" collapsed="false">
      <c r="A370" s="4" t="str">
        <f aca="false">IF($B370="","",ROW()-7)</f>
        <v/>
      </c>
      <c r="J370" s="9" t="str">
        <f aca="false">IF($H370="","",$H370*$I370)</f>
        <v/>
      </c>
    </row>
    <row r="371" customFormat="false" ht="15" hidden="false" customHeight="false" outlineLevel="0" collapsed="false">
      <c r="A371" s="4" t="str">
        <f aca="false">IF($B371="","",ROW()-7)</f>
        <v/>
      </c>
      <c r="J371" s="9" t="str">
        <f aca="false">IF($H371="","",$H371*$I371)</f>
        <v/>
      </c>
    </row>
    <row r="372" customFormat="false" ht="15" hidden="false" customHeight="false" outlineLevel="0" collapsed="false">
      <c r="A372" s="4" t="str">
        <f aca="false">IF($B372="","",ROW()-7)</f>
        <v/>
      </c>
      <c r="J372" s="9" t="str">
        <f aca="false">IF($H372="","",$H372*$I372)</f>
        <v/>
      </c>
    </row>
    <row r="373" customFormat="false" ht="15" hidden="false" customHeight="false" outlineLevel="0" collapsed="false">
      <c r="A373" s="4" t="str">
        <f aca="false">IF($B373="","",ROW()-7)</f>
        <v/>
      </c>
      <c r="J373" s="9" t="str">
        <f aca="false">IF($H373="","",$H373*$I373)</f>
        <v/>
      </c>
    </row>
    <row r="374" customFormat="false" ht="15" hidden="false" customHeight="false" outlineLevel="0" collapsed="false">
      <c r="A374" s="4" t="str">
        <f aca="false">IF($B374="","",ROW()-7)</f>
        <v/>
      </c>
      <c r="J374" s="9" t="str">
        <f aca="false">IF($H374="","",$H374*$I374)</f>
        <v/>
      </c>
    </row>
    <row r="375" customFormat="false" ht="15" hidden="false" customHeight="false" outlineLevel="0" collapsed="false">
      <c r="A375" s="4" t="str">
        <f aca="false">IF($B375="","",ROW()-7)</f>
        <v/>
      </c>
      <c r="J375" s="9" t="str">
        <f aca="false">IF($H375="","",$H375*$I375)</f>
        <v/>
      </c>
    </row>
    <row r="376" customFormat="false" ht="15" hidden="false" customHeight="false" outlineLevel="0" collapsed="false">
      <c r="A376" s="4" t="str">
        <f aca="false">IF($B376="","",ROW()-7)</f>
        <v/>
      </c>
      <c r="J376" s="9" t="str">
        <f aca="false">IF($H376="","",$H376*$I376)</f>
        <v/>
      </c>
    </row>
    <row r="377" customFormat="false" ht="15" hidden="false" customHeight="false" outlineLevel="0" collapsed="false">
      <c r="A377" s="4" t="str">
        <f aca="false">IF($B377="","",ROW()-7)</f>
        <v/>
      </c>
      <c r="J377" s="9" t="str">
        <f aca="false">IF($H377="","",$H377*$I377)</f>
        <v/>
      </c>
    </row>
    <row r="378" customFormat="false" ht="15" hidden="false" customHeight="false" outlineLevel="0" collapsed="false">
      <c r="A378" s="4" t="str">
        <f aca="false">IF($B378="","",ROW()-7)</f>
        <v/>
      </c>
      <c r="J378" s="9" t="str">
        <f aca="false">IF($H378="","",$H378*$I378)</f>
        <v/>
      </c>
    </row>
    <row r="379" customFormat="false" ht="15" hidden="false" customHeight="false" outlineLevel="0" collapsed="false">
      <c r="A379" s="4" t="str">
        <f aca="false">IF($B379="","",ROW()-7)</f>
        <v/>
      </c>
      <c r="J379" s="9" t="str">
        <f aca="false">IF($H379="","",$H379*$I379)</f>
        <v/>
      </c>
    </row>
    <row r="380" customFormat="false" ht="15" hidden="false" customHeight="false" outlineLevel="0" collapsed="false">
      <c r="A380" s="4" t="str">
        <f aca="false">IF($B380="","",ROW()-7)</f>
        <v/>
      </c>
      <c r="J380" s="9" t="str">
        <f aca="false">IF($H380="","",$H380*$I380)</f>
        <v/>
      </c>
    </row>
    <row r="381" customFormat="false" ht="15" hidden="false" customHeight="false" outlineLevel="0" collapsed="false">
      <c r="A381" s="4" t="str">
        <f aca="false">IF($B381="","",ROW()-7)</f>
        <v/>
      </c>
      <c r="J381" s="9" t="str">
        <f aca="false">IF($H381="","",$H381*$I381)</f>
        <v/>
      </c>
    </row>
    <row r="382" customFormat="false" ht="15" hidden="false" customHeight="false" outlineLevel="0" collapsed="false">
      <c r="A382" s="4" t="str">
        <f aca="false">IF($B382="","",ROW()-7)</f>
        <v/>
      </c>
      <c r="J382" s="9" t="str">
        <f aca="false">IF($H382="","",$H382*$I382)</f>
        <v/>
      </c>
    </row>
    <row r="383" customFormat="false" ht="15" hidden="false" customHeight="false" outlineLevel="0" collapsed="false">
      <c r="A383" s="4" t="str">
        <f aca="false">IF($B383="","",ROW()-7)</f>
        <v/>
      </c>
      <c r="J383" s="9" t="str">
        <f aca="false">IF($H383="","",$H383*$I383)</f>
        <v/>
      </c>
    </row>
    <row r="384" customFormat="false" ht="15" hidden="false" customHeight="false" outlineLevel="0" collapsed="false">
      <c r="A384" s="4" t="str">
        <f aca="false">IF($B384="","",ROW()-7)</f>
        <v/>
      </c>
      <c r="J384" s="9" t="str">
        <f aca="false">IF($H384="","",$H384*$I384)</f>
        <v/>
      </c>
    </row>
    <row r="385" customFormat="false" ht="15" hidden="false" customHeight="false" outlineLevel="0" collapsed="false">
      <c r="A385" s="4" t="str">
        <f aca="false">IF($B385="","",ROW()-7)</f>
        <v/>
      </c>
      <c r="J385" s="9" t="str">
        <f aca="false">IF($H385="","",$H385*$I385)</f>
        <v/>
      </c>
    </row>
    <row r="386" customFormat="false" ht="15" hidden="false" customHeight="false" outlineLevel="0" collapsed="false">
      <c r="A386" s="4" t="str">
        <f aca="false">IF($B386="","",ROW()-7)</f>
        <v/>
      </c>
      <c r="J386" s="9" t="str">
        <f aca="false">IF($H386="","",$H386*$I386)</f>
        <v/>
      </c>
    </row>
    <row r="387" customFormat="false" ht="15" hidden="false" customHeight="false" outlineLevel="0" collapsed="false">
      <c r="A387" s="4" t="str">
        <f aca="false">IF($B387="","",ROW()-7)</f>
        <v/>
      </c>
      <c r="J387" s="9" t="str">
        <f aca="false">IF($H387="","",$H387*$I387)</f>
        <v/>
      </c>
    </row>
    <row r="388" customFormat="false" ht="15" hidden="false" customHeight="false" outlineLevel="0" collapsed="false">
      <c r="A388" s="4" t="str">
        <f aca="false">IF($B388="","",ROW()-7)</f>
        <v/>
      </c>
      <c r="J388" s="9" t="str">
        <f aca="false">IF($H388="","",$H388*$I388)</f>
        <v/>
      </c>
    </row>
    <row r="389" customFormat="false" ht="15" hidden="false" customHeight="false" outlineLevel="0" collapsed="false">
      <c r="A389" s="4" t="str">
        <f aca="false">IF($B389="","",ROW()-7)</f>
        <v/>
      </c>
      <c r="J389" s="9" t="str">
        <f aca="false">IF($H389="","",$H389*$I389)</f>
        <v/>
      </c>
    </row>
    <row r="390" customFormat="false" ht="15" hidden="false" customHeight="false" outlineLevel="0" collapsed="false">
      <c r="A390" s="4" t="str">
        <f aca="false">IF($B390="","",ROW()-7)</f>
        <v/>
      </c>
      <c r="J390" s="9" t="str">
        <f aca="false">IF($H390="","",$H390*$I390)</f>
        <v/>
      </c>
    </row>
    <row r="391" customFormat="false" ht="15" hidden="false" customHeight="false" outlineLevel="0" collapsed="false">
      <c r="A391" s="4" t="str">
        <f aca="false">IF($B391="","",ROW()-7)</f>
        <v/>
      </c>
      <c r="J391" s="9" t="str">
        <f aca="false">IF($H391="","",$H391*$I391)</f>
        <v/>
      </c>
    </row>
    <row r="392" customFormat="false" ht="15" hidden="false" customHeight="false" outlineLevel="0" collapsed="false">
      <c r="A392" s="4" t="str">
        <f aca="false">IF($B392="","",ROW()-7)</f>
        <v/>
      </c>
      <c r="J392" s="9" t="str">
        <f aca="false">IF($H392="","",$H392*$I392)</f>
        <v/>
      </c>
    </row>
    <row r="393" customFormat="false" ht="15" hidden="false" customHeight="false" outlineLevel="0" collapsed="false">
      <c r="A393" s="4" t="str">
        <f aca="false">IF($B393="","",ROW()-7)</f>
        <v/>
      </c>
      <c r="J393" s="9" t="str">
        <f aca="false">IF($H393="","",$H393*$I393)</f>
        <v/>
      </c>
    </row>
    <row r="394" customFormat="false" ht="15" hidden="false" customHeight="false" outlineLevel="0" collapsed="false">
      <c r="A394" s="4" t="str">
        <f aca="false">IF($B394="","",ROW()-7)</f>
        <v/>
      </c>
      <c r="J394" s="9" t="str">
        <f aca="false">IF($H394="","",$H394*$I394)</f>
        <v/>
      </c>
    </row>
    <row r="395" customFormat="false" ht="15" hidden="false" customHeight="false" outlineLevel="0" collapsed="false">
      <c r="A395" s="4" t="str">
        <f aca="false">IF($B395="","",ROW()-7)</f>
        <v/>
      </c>
      <c r="J395" s="9" t="str">
        <f aca="false">IF($H395="","",$H395*$I395)</f>
        <v/>
      </c>
    </row>
    <row r="396" customFormat="false" ht="15" hidden="false" customHeight="false" outlineLevel="0" collapsed="false">
      <c r="A396" s="4" t="str">
        <f aca="false">IF($B396="","",ROW()-7)</f>
        <v/>
      </c>
      <c r="J396" s="9" t="str">
        <f aca="false">IF($H396="","",$H396*$I396)</f>
        <v/>
      </c>
    </row>
    <row r="397" customFormat="false" ht="15" hidden="false" customHeight="false" outlineLevel="0" collapsed="false">
      <c r="A397" s="4" t="str">
        <f aca="false">IF($B397="","",ROW()-7)</f>
        <v/>
      </c>
      <c r="J397" s="9" t="str">
        <f aca="false">IF($H397="","",$H397*$I397)</f>
        <v/>
      </c>
    </row>
    <row r="398" customFormat="false" ht="15" hidden="false" customHeight="false" outlineLevel="0" collapsed="false">
      <c r="A398" s="4" t="str">
        <f aca="false">IF($B398="","",ROW()-7)</f>
        <v/>
      </c>
      <c r="J398" s="9" t="str">
        <f aca="false">IF($H398="","",$H398*$I398)</f>
        <v/>
      </c>
    </row>
    <row r="399" customFormat="false" ht="15" hidden="false" customHeight="false" outlineLevel="0" collapsed="false">
      <c r="A399" s="4" t="str">
        <f aca="false">IF($B399="","",ROW()-7)</f>
        <v/>
      </c>
      <c r="J399" s="9" t="str">
        <f aca="false">IF($H399="","",$H399*$I399)</f>
        <v/>
      </c>
    </row>
    <row r="400" customFormat="false" ht="15" hidden="false" customHeight="false" outlineLevel="0" collapsed="false">
      <c r="A400" s="4" t="str">
        <f aca="false">IF($B400="","",ROW()-7)</f>
        <v/>
      </c>
      <c r="J400" s="9" t="str">
        <f aca="false">IF($H400="","",$H400*$I400)</f>
        <v/>
      </c>
    </row>
    <row r="401" customFormat="false" ht="15" hidden="false" customHeight="false" outlineLevel="0" collapsed="false">
      <c r="A401" s="4" t="str">
        <f aca="false">IF($B401="","",ROW()-7)</f>
        <v/>
      </c>
      <c r="J401" s="9" t="str">
        <f aca="false">IF($H401="","",$H401*$I401)</f>
        <v/>
      </c>
    </row>
    <row r="402" customFormat="false" ht="15" hidden="false" customHeight="false" outlineLevel="0" collapsed="false">
      <c r="A402" s="4" t="str">
        <f aca="false">IF($B402="","",ROW()-7)</f>
        <v/>
      </c>
      <c r="J402" s="9" t="str">
        <f aca="false">IF($H402="","",$H402*$I402)</f>
        <v/>
      </c>
    </row>
    <row r="403" customFormat="false" ht="15" hidden="false" customHeight="false" outlineLevel="0" collapsed="false">
      <c r="A403" s="4" t="str">
        <f aca="false">IF($B403="","",ROW()-7)</f>
        <v/>
      </c>
      <c r="J403" s="9" t="str">
        <f aca="false">IF($H403="","",$H403*$I403)</f>
        <v/>
      </c>
    </row>
    <row r="404" customFormat="false" ht="15" hidden="false" customHeight="false" outlineLevel="0" collapsed="false">
      <c r="A404" s="4" t="str">
        <f aca="false">IF($B404="","",ROW()-7)</f>
        <v/>
      </c>
      <c r="J404" s="9" t="str">
        <f aca="false">IF($H404="","",$H404*$I404)</f>
        <v/>
      </c>
    </row>
    <row r="405" customFormat="false" ht="15" hidden="false" customHeight="false" outlineLevel="0" collapsed="false">
      <c r="A405" s="4" t="str">
        <f aca="false">IF($B405="","",ROW()-7)</f>
        <v/>
      </c>
      <c r="J405" s="9" t="str">
        <f aca="false">IF($H405="","",$H405*$I405)</f>
        <v/>
      </c>
    </row>
    <row r="406" customFormat="false" ht="15" hidden="false" customHeight="false" outlineLevel="0" collapsed="false">
      <c r="A406" s="4" t="str">
        <f aca="false">IF($B406="","",ROW()-7)</f>
        <v/>
      </c>
      <c r="J406" s="9" t="str">
        <f aca="false">IF($H406="","",$H406*$I406)</f>
        <v/>
      </c>
    </row>
    <row r="407" customFormat="false" ht="15" hidden="false" customHeight="false" outlineLevel="0" collapsed="false">
      <c r="A407" s="4" t="str">
        <f aca="false">IF($B407="","",ROW()-7)</f>
        <v/>
      </c>
      <c r="J407" s="9" t="str">
        <f aca="false">IF($H407="","",$H407*$I407)</f>
        <v/>
      </c>
    </row>
  </sheetData>
  <mergeCells count="5">
    <mergeCell ref="A1:N1"/>
    <mergeCell ref="B3:C3"/>
    <mergeCell ref="B4:C4"/>
    <mergeCell ref="B5:C5"/>
    <mergeCell ref="P6:Q6"/>
  </mergeCells>
  <conditionalFormatting sqref="L8:L407">
    <cfRule type="cellIs" priority="2" operator="equal" aboveAverage="0" equalAverage="0" bottom="0" percent="0" rank="0" text="" dxfId="0">
      <formula>"Đã chuyển khoản"</formula>
    </cfRule>
    <cfRule type="cellIs" priority="3" operator="equal" aboveAverage="0" equalAverage="0" bottom="0" percent="0" rank="0" text="" dxfId="1">
      <formula>"Chưa chuyển khoản"</formula>
    </cfRule>
  </conditionalFormatting>
  <dataValidations count="1">
    <dataValidation allowBlank="true" error="Chọn: Đã chuyển khoản hoặc Chưa chuyển khoản" errorStyle="stop" operator="between" showDropDown="false" showErrorMessage="false" showInputMessage="false" sqref="L8:L407" type="list">
      <formula1>"Đã chuyển khoản,Chưa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3" min="2" style="0" width="13"/>
    <col collapsed="false" customWidth="true" hidden="false" outlineLevel="0" max="4" min="4" style="0" width="17"/>
    <col collapsed="false" customWidth="true" hidden="false" outlineLevel="0" max="5" min="5" style="0" width="3"/>
    <col collapsed="false" customWidth="true" hidden="false" outlineLevel="0" max="6" min="6" style="0" width="22"/>
    <col collapsed="false" customWidth="true" hidden="false" outlineLevel="0" max="9" min="7" style="0" width="17"/>
  </cols>
  <sheetData>
    <row r="1" customFormat="false" ht="25.5" hidden="false" customHeight="true" outlineLevel="0" collapsed="false">
      <c r="A1" s="10" t="s">
        <v>88</v>
      </c>
      <c r="B1" s="10"/>
      <c r="C1" s="10"/>
      <c r="D1" s="10"/>
      <c r="E1" s="10"/>
      <c r="F1" s="10"/>
      <c r="G1" s="10"/>
      <c r="H1" s="10"/>
      <c r="I1" s="10"/>
    </row>
    <row r="3" customFormat="false" ht="15" hidden="false" customHeight="true" outlineLevel="0" collapsed="false">
      <c r="A3" s="22" t="s">
        <v>89</v>
      </c>
      <c r="B3" s="22"/>
      <c r="C3" s="22"/>
      <c r="D3" s="22"/>
    </row>
    <row r="4" customFormat="false" ht="15" hidden="false" customHeight="true" outlineLevel="0" collapsed="false">
      <c r="A4" s="23" t="s">
        <v>90</v>
      </c>
      <c r="B4" s="23"/>
      <c r="C4" s="24" t="n">
        <v>46188</v>
      </c>
      <c r="D4" s="21" t="n">
        <f aca="false">SUMIF('Tháng 6'!$B$8:$B$407,$C$4,'Tháng 6'!$J$8:$J$407)+SUMIF('Tháng 7'!$B$8:$B$407,$C$4,'Tháng 7'!$J$8:$J$407)+SUMIF('Tháng 8'!$B$8:$B$407,$C$4,'Tháng 8'!$J$8:$J$407)+SUMIF('Tháng 9'!$B$8:$B$407,$C$4,'Tháng 9'!$J$8:$J$407)+SUMIF('Tháng 10'!$B$8:$B$407,$C$4,'Tháng 10'!$J$8:$J$407)+SUMIF('Tháng 11'!$B$8:$B$407,$C$4,'Tháng 11'!$J$8:$J$407)+SUMIF('Tháng 12'!$B$8:$B$407,$C$4,'Tháng 12'!$J$8:$J$407)</f>
        <v>7000000</v>
      </c>
    </row>
    <row r="5" customFormat="false" ht="15" hidden="false" customHeight="false" outlineLevel="0" collapsed="false">
      <c r="A5" s="25" t="s">
        <v>91</v>
      </c>
      <c r="B5" s="25"/>
    </row>
    <row r="7" customFormat="false" ht="15" hidden="false" customHeight="true" outlineLevel="0" collapsed="false">
      <c r="A7" s="22" t="s">
        <v>92</v>
      </c>
      <c r="B7" s="22"/>
      <c r="C7" s="22"/>
      <c r="D7" s="22"/>
      <c r="F7" s="22" t="s">
        <v>93</v>
      </c>
      <c r="G7" s="22"/>
      <c r="H7" s="22"/>
      <c r="I7" s="22"/>
    </row>
    <row r="8" customFormat="false" ht="15" hidden="false" customHeight="false" outlineLevel="0" collapsed="false">
      <c r="A8" s="14" t="s">
        <v>94</v>
      </c>
      <c r="B8" s="14" t="s">
        <v>95</v>
      </c>
      <c r="C8" s="14" t="s">
        <v>96</v>
      </c>
      <c r="D8" s="14" t="s">
        <v>47</v>
      </c>
      <c r="F8" s="14" t="s">
        <v>97</v>
      </c>
      <c r="G8" s="14" t="s">
        <v>47</v>
      </c>
      <c r="H8" s="14" t="s">
        <v>98</v>
      </c>
      <c r="I8" s="14" t="s">
        <v>99</v>
      </c>
    </row>
    <row r="9" customFormat="false" ht="15" hidden="false" customHeight="false" outlineLevel="0" collapsed="false">
      <c r="A9" s="26" t="s">
        <v>100</v>
      </c>
      <c r="B9" s="18" t="n">
        <v>46174</v>
      </c>
      <c r="C9" s="18" t="n">
        <v>46180</v>
      </c>
      <c r="D9" s="19" t="n">
        <f aca="false">SUMIFS('Tháng 6'!$J$8:$J$407,'Tháng 6'!$B$8:$B$407,"&gt;="&amp;$B9,'Tháng 6'!$B$8:$B$407,"&lt;="&amp;$C9)+SUMIFS('Tháng 7'!$J$8:$J$407,'Tháng 7'!$B$8:$B$407,"&gt;="&amp;$B9,'Tháng 7'!$B$8:$B$407,"&lt;="&amp;$C9)+SUMIFS('Tháng 8'!$J$8:$J$407,'Tháng 8'!$B$8:$B$407,"&gt;="&amp;$B9,'Tháng 8'!$B$8:$B$407,"&lt;="&amp;$C9)+SUMIFS('Tháng 9'!$J$8:$J$407,'Tháng 9'!$B$8:$B$407,"&gt;="&amp;$B9,'Tháng 9'!$B$8:$B$407,"&lt;="&amp;$C9)+SUMIFS('Tháng 10'!$J$8:$J$407,'Tháng 10'!$B$8:$B$407,"&gt;="&amp;$B9,'Tháng 10'!$B$8:$B$407,"&lt;="&amp;$C9)+SUMIFS('Tháng 11'!$J$8:$J$407,'Tháng 11'!$B$8:$B$407,"&gt;="&amp;$B9,'Tháng 11'!$B$8:$B$407,"&lt;="&amp;$C9)+SUMIFS('Tháng 12'!$J$8:$J$407,'Tháng 12'!$B$8:$B$407,"&gt;="&amp;$B9,'Tháng 12'!$B$8:$B$407,"&lt;="&amp;$C9)</f>
        <v>8500000</v>
      </c>
      <c r="F9" s="26" t="s">
        <v>101</v>
      </c>
      <c r="G9" s="27" t="n">
        <f aca="false">'Tháng 6'!$D$3</f>
        <v>21500000</v>
      </c>
      <c r="H9" s="27" t="n">
        <f aca="false">'Tháng 6'!$D$4</f>
        <v>15500000</v>
      </c>
      <c r="I9" s="27" t="n">
        <f aca="false">'Tháng 6'!$D$5</f>
        <v>6000000</v>
      </c>
    </row>
    <row r="10" customFormat="false" ht="15" hidden="false" customHeight="false" outlineLevel="0" collapsed="false">
      <c r="A10" s="26" t="s">
        <v>102</v>
      </c>
      <c r="B10" s="18" t="n">
        <v>46181</v>
      </c>
      <c r="C10" s="18" t="n">
        <v>46187</v>
      </c>
      <c r="D10" s="19" t="n">
        <f aca="false">SUMIFS('Tháng 6'!$J$8:$J$407,'Tháng 6'!$B$8:$B$407,"&gt;="&amp;$B10,'Tháng 6'!$B$8:$B$407,"&lt;="&amp;$C10)+SUMIFS('Tháng 7'!$J$8:$J$407,'Tháng 7'!$B$8:$B$407,"&gt;="&amp;$B10,'Tháng 7'!$B$8:$B$407,"&lt;="&amp;$C10)+SUMIFS('Tháng 8'!$J$8:$J$407,'Tháng 8'!$B$8:$B$407,"&gt;="&amp;$B10,'Tháng 8'!$B$8:$B$407,"&lt;="&amp;$C10)+SUMIFS('Tháng 9'!$J$8:$J$407,'Tháng 9'!$B$8:$B$407,"&gt;="&amp;$B10,'Tháng 9'!$B$8:$B$407,"&lt;="&amp;$C10)+SUMIFS('Tháng 10'!$J$8:$J$407,'Tháng 10'!$B$8:$B$407,"&gt;="&amp;$B10,'Tháng 10'!$B$8:$B$407,"&lt;="&amp;$C10)+SUMIFS('Tháng 11'!$J$8:$J$407,'Tháng 11'!$B$8:$B$407,"&gt;="&amp;$B10,'Tháng 11'!$B$8:$B$407,"&lt;="&amp;$C10)+SUMIFS('Tháng 12'!$J$8:$J$407,'Tháng 12'!$B$8:$B$407,"&gt;="&amp;$B10,'Tháng 12'!$B$8:$B$407,"&lt;="&amp;$C10)</f>
        <v>6000000</v>
      </c>
      <c r="F10" s="26" t="s">
        <v>103</v>
      </c>
      <c r="G10" s="27" t="n">
        <f aca="false">'Tháng 7'!$D$3</f>
        <v>97000000</v>
      </c>
      <c r="H10" s="27" t="n">
        <f aca="false">'Tháng 7'!$D$4</f>
        <v>50000000</v>
      </c>
      <c r="I10" s="27" t="n">
        <f aca="false">'Tháng 7'!$D$5</f>
        <v>47000000</v>
      </c>
    </row>
    <row r="11" customFormat="false" ht="15" hidden="false" customHeight="false" outlineLevel="0" collapsed="false">
      <c r="A11" s="26" t="s">
        <v>104</v>
      </c>
      <c r="B11" s="18" t="n">
        <v>46188</v>
      </c>
      <c r="C11" s="18" t="n">
        <v>46194</v>
      </c>
      <c r="D11" s="19" t="n">
        <f aca="false">SUMIFS('Tháng 6'!$J$8:$J$407,'Tháng 6'!$B$8:$B$407,"&gt;="&amp;$B11,'Tháng 6'!$B$8:$B$407,"&lt;="&amp;$C11)+SUMIFS('Tháng 7'!$J$8:$J$407,'Tháng 7'!$B$8:$B$407,"&gt;="&amp;$B11,'Tháng 7'!$B$8:$B$407,"&lt;="&amp;$C11)+SUMIFS('Tháng 8'!$J$8:$J$407,'Tháng 8'!$B$8:$B$407,"&gt;="&amp;$B11,'Tháng 8'!$B$8:$B$407,"&lt;="&amp;$C11)+SUMIFS('Tháng 9'!$J$8:$J$407,'Tháng 9'!$B$8:$B$407,"&gt;="&amp;$B11,'Tháng 9'!$B$8:$B$407,"&lt;="&amp;$C11)+SUMIFS('Tháng 10'!$J$8:$J$407,'Tháng 10'!$B$8:$B$407,"&gt;="&amp;$B11,'Tháng 10'!$B$8:$B$407,"&lt;="&amp;$C11)+SUMIFS('Tháng 11'!$J$8:$J$407,'Tháng 11'!$B$8:$B$407,"&gt;="&amp;$B11,'Tháng 11'!$B$8:$B$407,"&lt;="&amp;$C11)+SUMIFS('Tháng 12'!$J$8:$J$407,'Tháng 12'!$B$8:$B$407,"&gt;="&amp;$B11,'Tháng 12'!$B$8:$B$407,"&lt;="&amp;$C11)</f>
        <v>7000000</v>
      </c>
      <c r="F11" s="26" t="s">
        <v>105</v>
      </c>
      <c r="G11" s="27" t="n">
        <f aca="false">'Tháng 8'!$D$3</f>
        <v>0</v>
      </c>
      <c r="H11" s="27" t="n">
        <f aca="false">'Tháng 8'!$D$4</f>
        <v>0</v>
      </c>
      <c r="I11" s="27" t="n">
        <f aca="false">'Tháng 8'!$D$5</f>
        <v>0</v>
      </c>
    </row>
    <row r="12" customFormat="false" ht="15" hidden="false" customHeight="false" outlineLevel="0" collapsed="false">
      <c r="A12" s="26" t="s">
        <v>106</v>
      </c>
      <c r="B12" s="18" t="n">
        <v>46195</v>
      </c>
      <c r="C12" s="18" t="n">
        <v>46201</v>
      </c>
      <c r="D12" s="19" t="n">
        <f aca="false">SUMIFS('Tháng 6'!$J$8:$J$407,'Tháng 6'!$B$8:$B$407,"&gt;="&amp;$B12,'Tháng 6'!$B$8:$B$407,"&lt;="&amp;$C12)+SUMIFS('Tháng 7'!$J$8:$J$407,'Tháng 7'!$B$8:$B$407,"&gt;="&amp;$B12,'Tháng 7'!$B$8:$B$407,"&lt;="&amp;$C12)+SUMIFS('Tháng 8'!$J$8:$J$407,'Tháng 8'!$B$8:$B$407,"&gt;="&amp;$B12,'Tháng 8'!$B$8:$B$407,"&lt;="&amp;$C12)+SUMIFS('Tháng 9'!$J$8:$J$407,'Tháng 9'!$B$8:$B$407,"&gt;="&amp;$B12,'Tháng 9'!$B$8:$B$407,"&lt;="&amp;$C12)+SUMIFS('Tháng 10'!$J$8:$J$407,'Tháng 10'!$B$8:$B$407,"&gt;="&amp;$B12,'Tháng 10'!$B$8:$B$407,"&lt;="&amp;$C12)+SUMIFS('Tháng 11'!$J$8:$J$407,'Tháng 11'!$B$8:$B$407,"&gt;="&amp;$B12,'Tháng 11'!$B$8:$B$407,"&lt;="&amp;$C12)+SUMIFS('Tháng 12'!$J$8:$J$407,'Tháng 12'!$B$8:$B$407,"&gt;="&amp;$B12,'Tháng 12'!$B$8:$B$407,"&lt;="&amp;$C12)</f>
        <v>0</v>
      </c>
      <c r="F12" s="26" t="s">
        <v>107</v>
      </c>
      <c r="G12" s="27" t="n">
        <f aca="false">'Tháng 9'!$D$3</f>
        <v>0</v>
      </c>
      <c r="H12" s="27" t="n">
        <f aca="false">'Tháng 9'!$D$4</f>
        <v>0</v>
      </c>
      <c r="I12" s="27" t="n">
        <f aca="false">'Tháng 9'!$D$5</f>
        <v>0</v>
      </c>
    </row>
    <row r="13" customFormat="false" ht="15" hidden="false" customHeight="false" outlineLevel="0" collapsed="false">
      <c r="A13" s="26" t="s">
        <v>108</v>
      </c>
      <c r="B13" s="18" t="n">
        <v>46202</v>
      </c>
      <c r="C13" s="18" t="n">
        <v>46208</v>
      </c>
      <c r="D13" s="19" t="n">
        <f aca="false">SUMIFS('Tháng 6'!$J$8:$J$407,'Tháng 6'!$B$8:$B$407,"&gt;="&amp;$B13,'Tháng 6'!$B$8:$B$407,"&lt;="&amp;$C13)+SUMIFS('Tháng 7'!$J$8:$J$407,'Tháng 7'!$B$8:$B$407,"&gt;="&amp;$B13,'Tháng 7'!$B$8:$B$407,"&lt;="&amp;$C13)+SUMIFS('Tháng 8'!$J$8:$J$407,'Tháng 8'!$B$8:$B$407,"&gt;="&amp;$B13,'Tháng 8'!$B$8:$B$407,"&lt;="&amp;$C13)+SUMIFS('Tháng 9'!$J$8:$J$407,'Tháng 9'!$B$8:$B$407,"&gt;="&amp;$B13,'Tháng 9'!$B$8:$B$407,"&lt;="&amp;$C13)+SUMIFS('Tháng 10'!$J$8:$J$407,'Tháng 10'!$B$8:$B$407,"&gt;="&amp;$B13,'Tháng 10'!$B$8:$B$407,"&lt;="&amp;$C13)+SUMIFS('Tháng 11'!$J$8:$J$407,'Tháng 11'!$B$8:$B$407,"&gt;="&amp;$B13,'Tháng 11'!$B$8:$B$407,"&lt;="&amp;$C13)+SUMIFS('Tháng 12'!$J$8:$J$407,'Tháng 12'!$B$8:$B$407,"&gt;="&amp;$B13,'Tháng 12'!$B$8:$B$407,"&lt;="&amp;$C13)</f>
        <v>0</v>
      </c>
      <c r="F13" s="26" t="s">
        <v>109</v>
      </c>
      <c r="G13" s="27" t="n">
        <f aca="false">'Tháng 10'!$D$3</f>
        <v>0</v>
      </c>
      <c r="H13" s="27" t="n">
        <f aca="false">'Tháng 10'!$D$4</f>
        <v>0</v>
      </c>
      <c r="I13" s="27" t="n">
        <f aca="false">'Tháng 10'!$D$5</f>
        <v>0</v>
      </c>
    </row>
    <row r="14" customFormat="false" ht="15" hidden="false" customHeight="false" outlineLevel="0" collapsed="false">
      <c r="A14" s="26" t="s">
        <v>110</v>
      </c>
      <c r="B14" s="18" t="n">
        <v>46209</v>
      </c>
      <c r="C14" s="18" t="n">
        <v>46215</v>
      </c>
      <c r="D14" s="19" t="n">
        <f aca="false">SUMIFS('Tháng 6'!$J$8:$J$407,'Tháng 6'!$B$8:$B$407,"&gt;="&amp;$B14,'Tháng 6'!$B$8:$B$407,"&lt;="&amp;$C14)+SUMIFS('Tháng 7'!$J$8:$J$407,'Tháng 7'!$B$8:$B$407,"&gt;="&amp;$B14,'Tháng 7'!$B$8:$B$407,"&lt;="&amp;$C14)+SUMIFS('Tháng 8'!$J$8:$J$407,'Tháng 8'!$B$8:$B$407,"&gt;="&amp;$B14,'Tháng 8'!$B$8:$B$407,"&lt;="&amp;$C14)+SUMIFS('Tháng 9'!$J$8:$J$407,'Tháng 9'!$B$8:$B$407,"&gt;="&amp;$B14,'Tháng 9'!$B$8:$B$407,"&lt;="&amp;$C14)+SUMIFS('Tháng 10'!$J$8:$J$407,'Tháng 10'!$B$8:$B$407,"&gt;="&amp;$B14,'Tháng 10'!$B$8:$B$407,"&lt;="&amp;$C14)+SUMIFS('Tháng 11'!$J$8:$J$407,'Tháng 11'!$B$8:$B$407,"&gt;="&amp;$B14,'Tháng 11'!$B$8:$B$407,"&lt;="&amp;$C14)+SUMIFS('Tháng 12'!$J$8:$J$407,'Tháng 12'!$B$8:$B$407,"&gt;="&amp;$B14,'Tháng 12'!$B$8:$B$407,"&lt;="&amp;$C14)</f>
        <v>0</v>
      </c>
      <c r="F14" s="26" t="s">
        <v>111</v>
      </c>
      <c r="G14" s="27" t="n">
        <f aca="false">'Tháng 11'!$D$3</f>
        <v>0</v>
      </c>
      <c r="H14" s="27" t="n">
        <f aca="false">'Tháng 11'!$D$4</f>
        <v>0</v>
      </c>
      <c r="I14" s="27" t="n">
        <f aca="false">'Tháng 11'!$D$5</f>
        <v>0</v>
      </c>
    </row>
    <row r="15" customFormat="false" ht="15" hidden="false" customHeight="false" outlineLevel="0" collapsed="false">
      <c r="A15" s="26" t="s">
        <v>112</v>
      </c>
      <c r="B15" s="18" t="n">
        <v>46216</v>
      </c>
      <c r="C15" s="18" t="n">
        <v>46222</v>
      </c>
      <c r="D15" s="19" t="n">
        <f aca="false">SUMIFS('Tháng 6'!$J$8:$J$407,'Tháng 6'!$B$8:$B$407,"&gt;="&amp;$B15,'Tháng 6'!$B$8:$B$407,"&lt;="&amp;$C15)+SUMIFS('Tháng 7'!$J$8:$J$407,'Tháng 7'!$B$8:$B$407,"&gt;="&amp;$B15,'Tháng 7'!$B$8:$B$407,"&lt;="&amp;$C15)+SUMIFS('Tháng 8'!$J$8:$J$407,'Tháng 8'!$B$8:$B$407,"&gt;="&amp;$B15,'Tháng 8'!$B$8:$B$407,"&lt;="&amp;$C15)+SUMIFS('Tháng 9'!$J$8:$J$407,'Tháng 9'!$B$8:$B$407,"&gt;="&amp;$B15,'Tháng 9'!$B$8:$B$407,"&lt;="&amp;$C15)+SUMIFS('Tháng 10'!$J$8:$J$407,'Tháng 10'!$B$8:$B$407,"&gt;="&amp;$B15,'Tháng 10'!$B$8:$B$407,"&lt;="&amp;$C15)+SUMIFS('Tháng 11'!$J$8:$J$407,'Tháng 11'!$B$8:$B$407,"&gt;="&amp;$B15,'Tháng 11'!$B$8:$B$407,"&lt;="&amp;$C15)+SUMIFS('Tháng 12'!$J$8:$J$407,'Tháng 12'!$B$8:$B$407,"&gt;="&amp;$B15,'Tháng 12'!$B$8:$B$407,"&lt;="&amp;$C15)</f>
        <v>0</v>
      </c>
      <c r="F15" s="26" t="s">
        <v>113</v>
      </c>
      <c r="G15" s="27" t="n">
        <f aca="false">'Tháng 12'!$D$3</f>
        <v>0</v>
      </c>
      <c r="H15" s="27" t="n">
        <f aca="false">'Tháng 12'!$D$4</f>
        <v>0</v>
      </c>
      <c r="I15" s="27" t="n">
        <f aca="false">'Tháng 12'!$D$5</f>
        <v>0</v>
      </c>
    </row>
    <row r="16" customFormat="false" ht="15" hidden="false" customHeight="false" outlineLevel="0" collapsed="false">
      <c r="A16" s="26" t="s">
        <v>114</v>
      </c>
      <c r="B16" s="18" t="n">
        <v>46223</v>
      </c>
      <c r="C16" s="18" t="n">
        <v>46229</v>
      </c>
      <c r="D16" s="19" t="n">
        <f aca="false">SUMIFS('Tháng 6'!$J$8:$J$407,'Tháng 6'!$B$8:$B$407,"&gt;="&amp;$B16,'Tháng 6'!$B$8:$B$407,"&lt;="&amp;$C16)+SUMIFS('Tháng 7'!$J$8:$J$407,'Tháng 7'!$B$8:$B$407,"&gt;="&amp;$B16,'Tháng 7'!$B$8:$B$407,"&lt;="&amp;$C16)+SUMIFS('Tháng 8'!$J$8:$J$407,'Tháng 8'!$B$8:$B$407,"&gt;="&amp;$B16,'Tháng 8'!$B$8:$B$407,"&lt;="&amp;$C16)+SUMIFS('Tháng 9'!$J$8:$J$407,'Tháng 9'!$B$8:$B$407,"&gt;="&amp;$B16,'Tháng 9'!$B$8:$B$407,"&lt;="&amp;$C16)+SUMIFS('Tháng 10'!$J$8:$J$407,'Tháng 10'!$B$8:$B$407,"&gt;="&amp;$B16,'Tháng 10'!$B$8:$B$407,"&lt;="&amp;$C16)+SUMIFS('Tháng 11'!$J$8:$J$407,'Tháng 11'!$B$8:$B$407,"&gt;="&amp;$B16,'Tháng 11'!$B$8:$B$407,"&lt;="&amp;$C16)+SUMIFS('Tháng 12'!$J$8:$J$407,'Tháng 12'!$B$8:$B$407,"&gt;="&amp;$B16,'Tháng 12'!$B$8:$B$407,"&lt;="&amp;$C16)</f>
        <v>97000000</v>
      </c>
    </row>
    <row r="17" customFormat="false" ht="15" hidden="false" customHeight="true" outlineLevel="0" collapsed="false">
      <c r="A17" s="26" t="s">
        <v>115</v>
      </c>
      <c r="B17" s="18" t="n">
        <v>46230</v>
      </c>
      <c r="C17" s="18" t="n">
        <v>46236</v>
      </c>
      <c r="D17" s="19" t="n">
        <f aca="false">SUMIFS('Tháng 6'!$J$8:$J$407,'Tháng 6'!$B$8:$B$407,"&gt;="&amp;$B17,'Tháng 6'!$B$8:$B$407,"&lt;="&amp;$C17)+SUMIFS('Tháng 7'!$J$8:$J$407,'Tháng 7'!$B$8:$B$407,"&gt;="&amp;$B17,'Tháng 7'!$B$8:$B$407,"&lt;="&amp;$C17)+SUMIFS('Tháng 8'!$J$8:$J$407,'Tháng 8'!$B$8:$B$407,"&gt;="&amp;$B17,'Tháng 8'!$B$8:$B$407,"&lt;="&amp;$C17)+SUMIFS('Tháng 9'!$J$8:$J$407,'Tháng 9'!$B$8:$B$407,"&gt;="&amp;$B17,'Tháng 9'!$B$8:$B$407,"&lt;="&amp;$C17)+SUMIFS('Tháng 10'!$J$8:$J$407,'Tháng 10'!$B$8:$B$407,"&gt;="&amp;$B17,'Tháng 10'!$B$8:$B$407,"&lt;="&amp;$C17)+SUMIFS('Tháng 11'!$J$8:$J$407,'Tháng 11'!$B$8:$B$407,"&gt;="&amp;$B17,'Tháng 11'!$B$8:$B$407,"&lt;="&amp;$C17)+SUMIFS('Tháng 12'!$J$8:$J$407,'Tháng 12'!$B$8:$B$407,"&gt;="&amp;$B17,'Tháng 12'!$B$8:$B$407,"&lt;="&amp;$C17)</f>
        <v>0</v>
      </c>
      <c r="F17" s="22" t="s">
        <v>116</v>
      </c>
      <c r="G17" s="22"/>
      <c r="H17" s="22"/>
      <c r="I17" s="22"/>
    </row>
    <row r="18" customFormat="false" ht="15" hidden="false" customHeight="false" outlineLevel="0" collapsed="false">
      <c r="A18" s="26" t="s">
        <v>117</v>
      </c>
      <c r="B18" s="18" t="n">
        <v>46237</v>
      </c>
      <c r="C18" s="18" t="n">
        <v>46243</v>
      </c>
      <c r="D18" s="19" t="n">
        <f aca="false">SUMIFS('Tháng 6'!$J$8:$J$407,'Tháng 6'!$B$8:$B$407,"&gt;="&amp;$B18,'Tháng 6'!$B$8:$B$407,"&lt;="&amp;$C18)+SUMIFS('Tháng 7'!$J$8:$J$407,'Tháng 7'!$B$8:$B$407,"&gt;="&amp;$B18,'Tháng 7'!$B$8:$B$407,"&lt;="&amp;$C18)+SUMIFS('Tháng 8'!$J$8:$J$407,'Tháng 8'!$B$8:$B$407,"&gt;="&amp;$B18,'Tháng 8'!$B$8:$B$407,"&lt;="&amp;$C18)+SUMIFS('Tháng 9'!$J$8:$J$407,'Tháng 9'!$B$8:$B$407,"&gt;="&amp;$B18,'Tháng 9'!$B$8:$B$407,"&lt;="&amp;$C18)+SUMIFS('Tháng 10'!$J$8:$J$407,'Tháng 10'!$B$8:$B$407,"&gt;="&amp;$B18,'Tháng 10'!$B$8:$B$407,"&lt;="&amp;$C18)+SUMIFS('Tháng 11'!$J$8:$J$407,'Tháng 11'!$B$8:$B$407,"&gt;="&amp;$B18,'Tháng 11'!$B$8:$B$407,"&lt;="&amp;$C18)+SUMIFS('Tháng 12'!$J$8:$J$407,'Tháng 12'!$B$8:$B$407,"&gt;="&amp;$B18,'Tháng 12'!$B$8:$B$407,"&lt;="&amp;$C18)</f>
        <v>0</v>
      </c>
      <c r="F18" s="20" t="s">
        <v>118</v>
      </c>
      <c r="G18" s="21" t="n">
        <f aca="false">SUM($G$9:$G$9)</f>
        <v>21500000</v>
      </c>
      <c r="H18" s="21" t="n">
        <f aca="false">SUM($H$9:$H$9)</f>
        <v>15500000</v>
      </c>
      <c r="I18" s="21" t="n">
        <f aca="false">SUM($I$9:$I$9)</f>
        <v>6000000</v>
      </c>
    </row>
    <row r="19" customFormat="false" ht="15" hidden="false" customHeight="false" outlineLevel="0" collapsed="false">
      <c r="A19" s="26" t="s">
        <v>119</v>
      </c>
      <c r="B19" s="18" t="n">
        <v>46244</v>
      </c>
      <c r="C19" s="18" t="n">
        <v>46250</v>
      </c>
      <c r="D19" s="19" t="n">
        <f aca="false">SUMIFS('Tháng 6'!$J$8:$J$407,'Tháng 6'!$B$8:$B$407,"&gt;="&amp;$B19,'Tháng 6'!$B$8:$B$407,"&lt;="&amp;$C19)+SUMIFS('Tháng 7'!$J$8:$J$407,'Tháng 7'!$B$8:$B$407,"&gt;="&amp;$B19,'Tháng 7'!$B$8:$B$407,"&lt;="&amp;$C19)+SUMIFS('Tháng 8'!$J$8:$J$407,'Tháng 8'!$B$8:$B$407,"&gt;="&amp;$B19,'Tháng 8'!$B$8:$B$407,"&lt;="&amp;$C19)+SUMIFS('Tháng 9'!$J$8:$J$407,'Tháng 9'!$B$8:$B$407,"&gt;="&amp;$B19,'Tháng 9'!$B$8:$B$407,"&lt;="&amp;$C19)+SUMIFS('Tháng 10'!$J$8:$J$407,'Tháng 10'!$B$8:$B$407,"&gt;="&amp;$B19,'Tháng 10'!$B$8:$B$407,"&lt;="&amp;$C19)+SUMIFS('Tháng 11'!$J$8:$J$407,'Tháng 11'!$B$8:$B$407,"&gt;="&amp;$B19,'Tháng 11'!$B$8:$B$407,"&lt;="&amp;$C19)+SUMIFS('Tháng 12'!$J$8:$J$407,'Tháng 12'!$B$8:$B$407,"&gt;="&amp;$B19,'Tháng 12'!$B$8:$B$407,"&lt;="&amp;$C19)</f>
        <v>0</v>
      </c>
      <c r="F19" s="20" t="s">
        <v>120</v>
      </c>
      <c r="G19" s="21" t="n">
        <f aca="false">SUM($G$10:$G$12)</f>
        <v>97000000</v>
      </c>
      <c r="H19" s="21" t="n">
        <f aca="false">SUM($H$10:$H$12)</f>
        <v>50000000</v>
      </c>
      <c r="I19" s="21" t="n">
        <f aca="false">SUM($I$10:$I$12)</f>
        <v>47000000</v>
      </c>
    </row>
    <row r="20" customFormat="false" ht="15" hidden="false" customHeight="false" outlineLevel="0" collapsed="false">
      <c r="A20" s="26" t="s">
        <v>121</v>
      </c>
      <c r="B20" s="18" t="n">
        <v>46251</v>
      </c>
      <c r="C20" s="18" t="n">
        <v>46257</v>
      </c>
      <c r="D20" s="19" t="n">
        <f aca="false">SUMIFS('Tháng 6'!$J$8:$J$407,'Tháng 6'!$B$8:$B$407,"&gt;="&amp;$B20,'Tháng 6'!$B$8:$B$407,"&lt;="&amp;$C20)+SUMIFS('Tháng 7'!$J$8:$J$407,'Tháng 7'!$B$8:$B$407,"&gt;="&amp;$B20,'Tháng 7'!$B$8:$B$407,"&lt;="&amp;$C20)+SUMIFS('Tháng 8'!$J$8:$J$407,'Tháng 8'!$B$8:$B$407,"&gt;="&amp;$B20,'Tháng 8'!$B$8:$B$407,"&lt;="&amp;$C20)+SUMIFS('Tháng 9'!$J$8:$J$407,'Tháng 9'!$B$8:$B$407,"&gt;="&amp;$B20,'Tháng 9'!$B$8:$B$407,"&lt;="&amp;$C20)+SUMIFS('Tháng 10'!$J$8:$J$407,'Tháng 10'!$B$8:$B$407,"&gt;="&amp;$B20,'Tháng 10'!$B$8:$B$407,"&lt;="&amp;$C20)+SUMIFS('Tháng 11'!$J$8:$J$407,'Tháng 11'!$B$8:$B$407,"&gt;="&amp;$B20,'Tháng 11'!$B$8:$B$407,"&lt;="&amp;$C20)+SUMIFS('Tháng 12'!$J$8:$J$407,'Tháng 12'!$B$8:$B$407,"&gt;="&amp;$B20,'Tháng 12'!$B$8:$B$407,"&lt;="&amp;$C20)</f>
        <v>0</v>
      </c>
      <c r="F20" s="20" t="s">
        <v>122</v>
      </c>
      <c r="G20" s="21" t="n">
        <f aca="false">SUM($G$13:$G$15)</f>
        <v>0</v>
      </c>
      <c r="H20" s="21" t="n">
        <f aca="false">SUM($H$13:$H$15)</f>
        <v>0</v>
      </c>
      <c r="I20" s="21" t="n">
        <f aca="false">SUM($I$13:$I$15)</f>
        <v>0</v>
      </c>
    </row>
    <row r="21" customFormat="false" ht="15" hidden="false" customHeight="false" outlineLevel="0" collapsed="false">
      <c r="A21" s="26" t="s">
        <v>123</v>
      </c>
      <c r="B21" s="18" t="n">
        <v>46258</v>
      </c>
      <c r="C21" s="18" t="n">
        <v>46264</v>
      </c>
      <c r="D21" s="19" t="n">
        <f aca="false">SUMIFS('Tháng 6'!$J$8:$J$407,'Tháng 6'!$B$8:$B$407,"&gt;="&amp;$B21,'Tháng 6'!$B$8:$B$407,"&lt;="&amp;$C21)+SUMIFS('Tháng 7'!$J$8:$J$407,'Tháng 7'!$B$8:$B$407,"&gt;="&amp;$B21,'Tháng 7'!$B$8:$B$407,"&lt;="&amp;$C21)+SUMIFS('Tháng 8'!$J$8:$J$407,'Tháng 8'!$B$8:$B$407,"&gt;="&amp;$B21,'Tháng 8'!$B$8:$B$407,"&lt;="&amp;$C21)+SUMIFS('Tháng 9'!$J$8:$J$407,'Tháng 9'!$B$8:$B$407,"&gt;="&amp;$B21,'Tháng 9'!$B$8:$B$407,"&lt;="&amp;$C21)+SUMIFS('Tháng 10'!$J$8:$J$407,'Tháng 10'!$B$8:$B$407,"&gt;="&amp;$B21,'Tháng 10'!$B$8:$B$407,"&lt;="&amp;$C21)+SUMIFS('Tháng 11'!$J$8:$J$407,'Tháng 11'!$B$8:$B$407,"&gt;="&amp;$B21,'Tháng 11'!$B$8:$B$407,"&lt;="&amp;$C21)+SUMIFS('Tháng 12'!$J$8:$J$407,'Tháng 12'!$B$8:$B$407,"&gt;="&amp;$B21,'Tháng 12'!$B$8:$B$407,"&lt;="&amp;$C21)</f>
        <v>0</v>
      </c>
    </row>
    <row r="22" customFormat="false" ht="15" hidden="false" customHeight="true" outlineLevel="0" collapsed="false">
      <c r="A22" s="26" t="s">
        <v>124</v>
      </c>
      <c r="B22" s="18" t="n">
        <v>46265</v>
      </c>
      <c r="C22" s="18" t="n">
        <v>46271</v>
      </c>
      <c r="D22" s="19" t="n">
        <f aca="false">SUMIFS('Tháng 6'!$J$8:$J$407,'Tháng 6'!$B$8:$B$407,"&gt;="&amp;$B22,'Tháng 6'!$B$8:$B$407,"&lt;="&amp;$C22)+SUMIFS('Tháng 7'!$J$8:$J$407,'Tháng 7'!$B$8:$B$407,"&gt;="&amp;$B22,'Tháng 7'!$B$8:$B$407,"&lt;="&amp;$C22)+SUMIFS('Tháng 8'!$J$8:$J$407,'Tháng 8'!$B$8:$B$407,"&gt;="&amp;$B22,'Tháng 8'!$B$8:$B$407,"&lt;="&amp;$C22)+SUMIFS('Tháng 9'!$J$8:$J$407,'Tháng 9'!$B$8:$B$407,"&gt;="&amp;$B22,'Tháng 9'!$B$8:$B$407,"&lt;="&amp;$C22)+SUMIFS('Tháng 10'!$J$8:$J$407,'Tháng 10'!$B$8:$B$407,"&gt;="&amp;$B22,'Tháng 10'!$B$8:$B$407,"&lt;="&amp;$C22)+SUMIFS('Tháng 11'!$J$8:$J$407,'Tháng 11'!$B$8:$B$407,"&gt;="&amp;$B22,'Tháng 11'!$B$8:$B$407,"&lt;="&amp;$C22)+SUMIFS('Tháng 12'!$J$8:$J$407,'Tháng 12'!$B$8:$B$407,"&gt;="&amp;$B22,'Tháng 12'!$B$8:$B$407,"&lt;="&amp;$C22)</f>
        <v>0</v>
      </c>
      <c r="F22" s="22" t="s">
        <v>125</v>
      </c>
      <c r="G22" s="22"/>
      <c r="H22" s="22"/>
      <c r="I22" s="22"/>
    </row>
    <row r="23" customFormat="false" ht="15" hidden="false" customHeight="false" outlineLevel="0" collapsed="false">
      <c r="A23" s="26" t="s">
        <v>126</v>
      </c>
      <c r="B23" s="18" t="n">
        <v>46272</v>
      </c>
      <c r="C23" s="18" t="n">
        <v>46278</v>
      </c>
      <c r="D23" s="19" t="n">
        <f aca="false">SUMIFS('Tháng 6'!$J$8:$J$407,'Tháng 6'!$B$8:$B$407,"&gt;="&amp;$B23,'Tháng 6'!$B$8:$B$407,"&lt;="&amp;$C23)+SUMIFS('Tháng 7'!$J$8:$J$407,'Tháng 7'!$B$8:$B$407,"&gt;="&amp;$B23,'Tháng 7'!$B$8:$B$407,"&lt;="&amp;$C23)+SUMIFS('Tháng 8'!$J$8:$J$407,'Tháng 8'!$B$8:$B$407,"&gt;="&amp;$B23,'Tháng 8'!$B$8:$B$407,"&lt;="&amp;$C23)+SUMIFS('Tháng 9'!$J$8:$J$407,'Tháng 9'!$B$8:$B$407,"&gt;="&amp;$B23,'Tháng 9'!$B$8:$B$407,"&lt;="&amp;$C23)+SUMIFS('Tháng 10'!$J$8:$J$407,'Tháng 10'!$B$8:$B$407,"&gt;="&amp;$B23,'Tháng 10'!$B$8:$B$407,"&lt;="&amp;$C23)+SUMIFS('Tháng 11'!$J$8:$J$407,'Tháng 11'!$B$8:$B$407,"&gt;="&amp;$B23,'Tháng 11'!$B$8:$B$407,"&lt;="&amp;$C23)+SUMIFS('Tháng 12'!$J$8:$J$407,'Tháng 12'!$B$8:$B$407,"&gt;="&amp;$B23,'Tháng 12'!$B$8:$B$407,"&lt;="&amp;$C23)</f>
        <v>0</v>
      </c>
      <c r="F23" s="28" t="s">
        <v>127</v>
      </c>
      <c r="G23" s="29" t="n">
        <f aca="false">SUM($G$18:$G$20)</f>
        <v>118500000</v>
      </c>
      <c r="H23" s="29" t="n">
        <f aca="false">SUM($H$18:$H$20)</f>
        <v>65500000</v>
      </c>
      <c r="I23" s="29" t="n">
        <f aca="false">SUM($I$18:$I$20)</f>
        <v>53000000</v>
      </c>
    </row>
    <row r="24" customFormat="false" ht="15" hidden="false" customHeight="false" outlineLevel="0" collapsed="false">
      <c r="A24" s="26" t="s">
        <v>128</v>
      </c>
      <c r="B24" s="18" t="n">
        <v>46279</v>
      </c>
      <c r="C24" s="18" t="n">
        <v>46285</v>
      </c>
      <c r="D24" s="19" t="n">
        <f aca="false">SUMIFS('Tháng 6'!$J$8:$J$407,'Tháng 6'!$B$8:$B$407,"&gt;="&amp;$B24,'Tháng 6'!$B$8:$B$407,"&lt;="&amp;$C24)+SUMIFS('Tháng 7'!$J$8:$J$407,'Tháng 7'!$B$8:$B$407,"&gt;="&amp;$B24,'Tháng 7'!$B$8:$B$407,"&lt;="&amp;$C24)+SUMIFS('Tháng 8'!$J$8:$J$407,'Tháng 8'!$B$8:$B$407,"&gt;="&amp;$B24,'Tháng 8'!$B$8:$B$407,"&lt;="&amp;$C24)+SUMIFS('Tháng 9'!$J$8:$J$407,'Tháng 9'!$B$8:$B$407,"&gt;="&amp;$B24,'Tháng 9'!$B$8:$B$407,"&lt;="&amp;$C24)+SUMIFS('Tháng 10'!$J$8:$J$407,'Tháng 10'!$B$8:$B$407,"&gt;="&amp;$B24,'Tháng 10'!$B$8:$B$407,"&lt;="&amp;$C24)+SUMIFS('Tháng 11'!$J$8:$J$407,'Tháng 11'!$B$8:$B$407,"&gt;="&amp;$B24,'Tháng 11'!$B$8:$B$407,"&lt;="&amp;$C24)+SUMIFS('Tháng 12'!$J$8:$J$407,'Tháng 12'!$B$8:$B$407,"&gt;="&amp;$B24,'Tháng 12'!$B$8:$B$407,"&lt;="&amp;$C24)</f>
        <v>0</v>
      </c>
    </row>
    <row r="25" customFormat="false" ht="15" hidden="false" customHeight="false" outlineLevel="0" collapsed="false">
      <c r="A25" s="26" t="s">
        <v>129</v>
      </c>
      <c r="B25" s="18" t="n">
        <v>46286</v>
      </c>
      <c r="C25" s="18" t="n">
        <v>46292</v>
      </c>
      <c r="D25" s="19" t="n">
        <f aca="false">SUMIFS('Tháng 6'!$J$8:$J$407,'Tháng 6'!$B$8:$B$407,"&gt;="&amp;$B25,'Tháng 6'!$B$8:$B$407,"&lt;="&amp;$C25)+SUMIFS('Tháng 7'!$J$8:$J$407,'Tháng 7'!$B$8:$B$407,"&gt;="&amp;$B25,'Tháng 7'!$B$8:$B$407,"&lt;="&amp;$C25)+SUMIFS('Tháng 8'!$J$8:$J$407,'Tháng 8'!$B$8:$B$407,"&gt;="&amp;$B25,'Tháng 8'!$B$8:$B$407,"&lt;="&amp;$C25)+SUMIFS('Tháng 9'!$J$8:$J$407,'Tháng 9'!$B$8:$B$407,"&gt;="&amp;$B25,'Tháng 9'!$B$8:$B$407,"&lt;="&amp;$C25)+SUMIFS('Tháng 10'!$J$8:$J$407,'Tháng 10'!$B$8:$B$407,"&gt;="&amp;$B25,'Tháng 10'!$B$8:$B$407,"&lt;="&amp;$C25)+SUMIFS('Tháng 11'!$J$8:$J$407,'Tháng 11'!$B$8:$B$407,"&gt;="&amp;$B25,'Tháng 11'!$B$8:$B$407,"&lt;="&amp;$C25)+SUMIFS('Tháng 12'!$J$8:$J$407,'Tháng 12'!$B$8:$B$407,"&gt;="&amp;$B25,'Tháng 12'!$B$8:$B$407,"&lt;="&amp;$C25)</f>
        <v>0</v>
      </c>
      <c r="F25" s="17" t="s">
        <v>130</v>
      </c>
    </row>
    <row r="26" customFormat="false" ht="15" hidden="false" customHeight="false" outlineLevel="0" collapsed="false">
      <c r="A26" s="26" t="s">
        <v>131</v>
      </c>
      <c r="B26" s="18" t="n">
        <v>46293</v>
      </c>
      <c r="C26" s="18" t="n">
        <v>46299</v>
      </c>
      <c r="D26" s="19" t="n">
        <f aca="false">SUMIFS('Tháng 6'!$J$8:$J$407,'Tháng 6'!$B$8:$B$407,"&gt;="&amp;$B26,'Tháng 6'!$B$8:$B$407,"&lt;="&amp;$C26)+SUMIFS('Tháng 7'!$J$8:$J$407,'Tháng 7'!$B$8:$B$407,"&gt;="&amp;$B26,'Tháng 7'!$B$8:$B$407,"&lt;="&amp;$C26)+SUMIFS('Tháng 8'!$J$8:$J$407,'Tháng 8'!$B$8:$B$407,"&gt;="&amp;$B26,'Tháng 8'!$B$8:$B$407,"&lt;="&amp;$C26)+SUMIFS('Tháng 9'!$J$8:$J$407,'Tháng 9'!$B$8:$B$407,"&gt;="&amp;$B26,'Tháng 9'!$B$8:$B$407,"&lt;="&amp;$C26)+SUMIFS('Tháng 10'!$J$8:$J$407,'Tháng 10'!$B$8:$B$407,"&gt;="&amp;$B26,'Tháng 10'!$B$8:$B$407,"&lt;="&amp;$C26)+SUMIFS('Tháng 11'!$J$8:$J$407,'Tháng 11'!$B$8:$B$407,"&gt;="&amp;$B26,'Tháng 11'!$B$8:$B$407,"&lt;="&amp;$C26)+SUMIFS('Tháng 12'!$J$8:$J$407,'Tháng 12'!$B$8:$B$407,"&gt;="&amp;$B26,'Tháng 12'!$B$8:$B$407,"&lt;="&amp;$C26)</f>
        <v>0</v>
      </c>
    </row>
    <row r="27" customFormat="false" ht="15" hidden="false" customHeight="false" outlineLevel="0" collapsed="false">
      <c r="A27" s="26" t="s">
        <v>132</v>
      </c>
      <c r="B27" s="18" t="n">
        <v>46300</v>
      </c>
      <c r="C27" s="18" t="n">
        <v>46306</v>
      </c>
      <c r="D27" s="19" t="n">
        <f aca="false">SUMIFS('Tháng 6'!$J$8:$J$407,'Tháng 6'!$B$8:$B$407,"&gt;="&amp;$B27,'Tháng 6'!$B$8:$B$407,"&lt;="&amp;$C27)+SUMIFS('Tháng 7'!$J$8:$J$407,'Tháng 7'!$B$8:$B$407,"&gt;="&amp;$B27,'Tháng 7'!$B$8:$B$407,"&lt;="&amp;$C27)+SUMIFS('Tháng 8'!$J$8:$J$407,'Tháng 8'!$B$8:$B$407,"&gt;="&amp;$B27,'Tháng 8'!$B$8:$B$407,"&lt;="&amp;$C27)+SUMIFS('Tháng 9'!$J$8:$J$407,'Tháng 9'!$B$8:$B$407,"&gt;="&amp;$B27,'Tháng 9'!$B$8:$B$407,"&lt;="&amp;$C27)+SUMIFS('Tháng 10'!$J$8:$J$407,'Tháng 10'!$B$8:$B$407,"&gt;="&amp;$B27,'Tháng 10'!$B$8:$B$407,"&lt;="&amp;$C27)+SUMIFS('Tháng 11'!$J$8:$J$407,'Tháng 11'!$B$8:$B$407,"&gt;="&amp;$B27,'Tháng 11'!$B$8:$B$407,"&lt;="&amp;$C27)+SUMIFS('Tháng 12'!$J$8:$J$407,'Tháng 12'!$B$8:$B$407,"&gt;="&amp;$B27,'Tháng 12'!$B$8:$B$407,"&lt;="&amp;$C27)</f>
        <v>0</v>
      </c>
    </row>
    <row r="28" customFormat="false" ht="15" hidden="false" customHeight="false" outlineLevel="0" collapsed="false">
      <c r="A28" s="26" t="s">
        <v>133</v>
      </c>
      <c r="B28" s="18" t="n">
        <v>46307</v>
      </c>
      <c r="C28" s="18" t="n">
        <v>46313</v>
      </c>
      <c r="D28" s="19" t="n">
        <f aca="false">SUMIFS('Tháng 6'!$J$8:$J$407,'Tháng 6'!$B$8:$B$407,"&gt;="&amp;$B28,'Tháng 6'!$B$8:$B$407,"&lt;="&amp;$C28)+SUMIFS('Tháng 7'!$J$8:$J$407,'Tháng 7'!$B$8:$B$407,"&gt;="&amp;$B28,'Tháng 7'!$B$8:$B$407,"&lt;="&amp;$C28)+SUMIFS('Tháng 8'!$J$8:$J$407,'Tháng 8'!$B$8:$B$407,"&gt;="&amp;$B28,'Tháng 8'!$B$8:$B$407,"&lt;="&amp;$C28)+SUMIFS('Tháng 9'!$J$8:$J$407,'Tháng 9'!$B$8:$B$407,"&gt;="&amp;$B28,'Tháng 9'!$B$8:$B$407,"&lt;="&amp;$C28)+SUMIFS('Tháng 10'!$J$8:$J$407,'Tháng 10'!$B$8:$B$407,"&gt;="&amp;$B28,'Tháng 10'!$B$8:$B$407,"&lt;="&amp;$C28)+SUMIFS('Tháng 11'!$J$8:$J$407,'Tháng 11'!$B$8:$B$407,"&gt;="&amp;$B28,'Tháng 11'!$B$8:$B$407,"&lt;="&amp;$C28)+SUMIFS('Tháng 12'!$J$8:$J$407,'Tháng 12'!$B$8:$B$407,"&gt;="&amp;$B28,'Tháng 12'!$B$8:$B$407,"&lt;="&amp;$C28)</f>
        <v>0</v>
      </c>
    </row>
    <row r="29" customFormat="false" ht="15" hidden="false" customHeight="false" outlineLevel="0" collapsed="false">
      <c r="A29" s="26" t="s">
        <v>134</v>
      </c>
      <c r="B29" s="18" t="n">
        <v>46314</v>
      </c>
      <c r="C29" s="18" t="n">
        <v>46320</v>
      </c>
      <c r="D29" s="19" t="n">
        <f aca="false">SUMIFS('Tháng 6'!$J$8:$J$407,'Tháng 6'!$B$8:$B$407,"&gt;="&amp;$B29,'Tháng 6'!$B$8:$B$407,"&lt;="&amp;$C29)+SUMIFS('Tháng 7'!$J$8:$J$407,'Tháng 7'!$B$8:$B$407,"&gt;="&amp;$B29,'Tháng 7'!$B$8:$B$407,"&lt;="&amp;$C29)+SUMIFS('Tháng 8'!$J$8:$J$407,'Tháng 8'!$B$8:$B$407,"&gt;="&amp;$B29,'Tháng 8'!$B$8:$B$407,"&lt;="&amp;$C29)+SUMIFS('Tháng 9'!$J$8:$J$407,'Tháng 9'!$B$8:$B$407,"&gt;="&amp;$B29,'Tháng 9'!$B$8:$B$407,"&lt;="&amp;$C29)+SUMIFS('Tháng 10'!$J$8:$J$407,'Tháng 10'!$B$8:$B$407,"&gt;="&amp;$B29,'Tháng 10'!$B$8:$B$407,"&lt;="&amp;$C29)+SUMIFS('Tháng 11'!$J$8:$J$407,'Tháng 11'!$B$8:$B$407,"&gt;="&amp;$B29,'Tháng 11'!$B$8:$B$407,"&lt;="&amp;$C29)+SUMIFS('Tháng 12'!$J$8:$J$407,'Tháng 12'!$B$8:$B$407,"&gt;="&amp;$B29,'Tháng 12'!$B$8:$B$407,"&lt;="&amp;$C29)</f>
        <v>0</v>
      </c>
    </row>
    <row r="30" customFormat="false" ht="15" hidden="false" customHeight="false" outlineLevel="0" collapsed="false">
      <c r="A30" s="26" t="s">
        <v>135</v>
      </c>
      <c r="B30" s="18" t="n">
        <v>46321</v>
      </c>
      <c r="C30" s="18" t="n">
        <v>46327</v>
      </c>
      <c r="D30" s="19" t="n">
        <f aca="false">SUMIFS('Tháng 6'!$J$8:$J$407,'Tháng 6'!$B$8:$B$407,"&gt;="&amp;$B30,'Tháng 6'!$B$8:$B$407,"&lt;="&amp;$C30)+SUMIFS('Tháng 7'!$J$8:$J$407,'Tháng 7'!$B$8:$B$407,"&gt;="&amp;$B30,'Tháng 7'!$B$8:$B$407,"&lt;="&amp;$C30)+SUMIFS('Tháng 8'!$J$8:$J$407,'Tháng 8'!$B$8:$B$407,"&gt;="&amp;$B30,'Tháng 8'!$B$8:$B$407,"&lt;="&amp;$C30)+SUMIFS('Tháng 9'!$J$8:$J$407,'Tháng 9'!$B$8:$B$407,"&gt;="&amp;$B30,'Tháng 9'!$B$8:$B$407,"&lt;="&amp;$C30)+SUMIFS('Tháng 10'!$J$8:$J$407,'Tháng 10'!$B$8:$B$407,"&gt;="&amp;$B30,'Tháng 10'!$B$8:$B$407,"&lt;="&amp;$C30)+SUMIFS('Tháng 11'!$J$8:$J$407,'Tháng 11'!$B$8:$B$407,"&gt;="&amp;$B30,'Tháng 11'!$B$8:$B$407,"&lt;="&amp;$C30)+SUMIFS('Tháng 12'!$J$8:$J$407,'Tháng 12'!$B$8:$B$407,"&gt;="&amp;$B30,'Tháng 12'!$B$8:$B$407,"&lt;="&amp;$C30)</f>
        <v>0</v>
      </c>
    </row>
    <row r="31" customFormat="false" ht="15" hidden="false" customHeight="false" outlineLevel="0" collapsed="false">
      <c r="A31" s="26" t="s">
        <v>136</v>
      </c>
      <c r="B31" s="18" t="n">
        <v>46328</v>
      </c>
      <c r="C31" s="18" t="n">
        <v>46334</v>
      </c>
      <c r="D31" s="19" t="n">
        <f aca="false">SUMIFS('Tháng 6'!$J$8:$J$407,'Tháng 6'!$B$8:$B$407,"&gt;="&amp;$B31,'Tháng 6'!$B$8:$B$407,"&lt;="&amp;$C31)+SUMIFS('Tháng 7'!$J$8:$J$407,'Tháng 7'!$B$8:$B$407,"&gt;="&amp;$B31,'Tháng 7'!$B$8:$B$407,"&lt;="&amp;$C31)+SUMIFS('Tháng 8'!$J$8:$J$407,'Tháng 8'!$B$8:$B$407,"&gt;="&amp;$B31,'Tháng 8'!$B$8:$B$407,"&lt;="&amp;$C31)+SUMIFS('Tháng 9'!$J$8:$J$407,'Tháng 9'!$B$8:$B$407,"&gt;="&amp;$B31,'Tháng 9'!$B$8:$B$407,"&lt;="&amp;$C31)+SUMIFS('Tháng 10'!$J$8:$J$407,'Tháng 10'!$B$8:$B$407,"&gt;="&amp;$B31,'Tháng 10'!$B$8:$B$407,"&lt;="&amp;$C31)+SUMIFS('Tháng 11'!$J$8:$J$407,'Tháng 11'!$B$8:$B$407,"&gt;="&amp;$B31,'Tháng 11'!$B$8:$B$407,"&lt;="&amp;$C31)+SUMIFS('Tháng 12'!$J$8:$J$407,'Tháng 12'!$B$8:$B$407,"&gt;="&amp;$B31,'Tháng 12'!$B$8:$B$407,"&lt;="&amp;$C31)</f>
        <v>0</v>
      </c>
    </row>
    <row r="32" customFormat="false" ht="15" hidden="false" customHeight="false" outlineLevel="0" collapsed="false">
      <c r="A32" s="26" t="s">
        <v>137</v>
      </c>
      <c r="B32" s="18" t="n">
        <v>46335</v>
      </c>
      <c r="C32" s="18" t="n">
        <v>46341</v>
      </c>
      <c r="D32" s="19" t="n">
        <f aca="false">SUMIFS('Tháng 6'!$J$8:$J$407,'Tháng 6'!$B$8:$B$407,"&gt;="&amp;$B32,'Tháng 6'!$B$8:$B$407,"&lt;="&amp;$C32)+SUMIFS('Tháng 7'!$J$8:$J$407,'Tháng 7'!$B$8:$B$407,"&gt;="&amp;$B32,'Tháng 7'!$B$8:$B$407,"&lt;="&amp;$C32)+SUMIFS('Tháng 8'!$J$8:$J$407,'Tháng 8'!$B$8:$B$407,"&gt;="&amp;$B32,'Tháng 8'!$B$8:$B$407,"&lt;="&amp;$C32)+SUMIFS('Tháng 9'!$J$8:$J$407,'Tháng 9'!$B$8:$B$407,"&gt;="&amp;$B32,'Tháng 9'!$B$8:$B$407,"&lt;="&amp;$C32)+SUMIFS('Tháng 10'!$J$8:$J$407,'Tháng 10'!$B$8:$B$407,"&gt;="&amp;$B32,'Tháng 10'!$B$8:$B$407,"&lt;="&amp;$C32)+SUMIFS('Tháng 11'!$J$8:$J$407,'Tháng 11'!$B$8:$B$407,"&gt;="&amp;$B32,'Tháng 11'!$B$8:$B$407,"&lt;="&amp;$C32)+SUMIFS('Tháng 12'!$J$8:$J$407,'Tháng 12'!$B$8:$B$407,"&gt;="&amp;$B32,'Tháng 12'!$B$8:$B$407,"&lt;="&amp;$C32)</f>
        <v>0</v>
      </c>
    </row>
    <row r="33" customFormat="false" ht="15" hidden="false" customHeight="false" outlineLevel="0" collapsed="false">
      <c r="A33" s="26" t="s">
        <v>138</v>
      </c>
      <c r="B33" s="18" t="n">
        <v>46342</v>
      </c>
      <c r="C33" s="18" t="n">
        <v>46348</v>
      </c>
      <c r="D33" s="19" t="n">
        <f aca="false">SUMIFS('Tháng 6'!$J$8:$J$407,'Tháng 6'!$B$8:$B$407,"&gt;="&amp;$B33,'Tháng 6'!$B$8:$B$407,"&lt;="&amp;$C33)+SUMIFS('Tháng 7'!$J$8:$J$407,'Tháng 7'!$B$8:$B$407,"&gt;="&amp;$B33,'Tháng 7'!$B$8:$B$407,"&lt;="&amp;$C33)+SUMIFS('Tháng 8'!$J$8:$J$407,'Tháng 8'!$B$8:$B$407,"&gt;="&amp;$B33,'Tháng 8'!$B$8:$B$407,"&lt;="&amp;$C33)+SUMIFS('Tháng 9'!$J$8:$J$407,'Tháng 9'!$B$8:$B$407,"&gt;="&amp;$B33,'Tháng 9'!$B$8:$B$407,"&lt;="&amp;$C33)+SUMIFS('Tháng 10'!$J$8:$J$407,'Tháng 10'!$B$8:$B$407,"&gt;="&amp;$B33,'Tháng 10'!$B$8:$B$407,"&lt;="&amp;$C33)+SUMIFS('Tháng 11'!$J$8:$J$407,'Tháng 11'!$B$8:$B$407,"&gt;="&amp;$B33,'Tháng 11'!$B$8:$B$407,"&lt;="&amp;$C33)+SUMIFS('Tháng 12'!$J$8:$J$407,'Tháng 12'!$B$8:$B$407,"&gt;="&amp;$B33,'Tháng 12'!$B$8:$B$407,"&lt;="&amp;$C33)</f>
        <v>0</v>
      </c>
    </row>
    <row r="34" customFormat="false" ht="15" hidden="false" customHeight="false" outlineLevel="0" collapsed="false">
      <c r="A34" s="26" t="s">
        <v>139</v>
      </c>
      <c r="B34" s="18" t="n">
        <v>46349</v>
      </c>
      <c r="C34" s="18" t="n">
        <v>46355</v>
      </c>
      <c r="D34" s="19" t="n">
        <f aca="false">SUMIFS('Tháng 6'!$J$8:$J$407,'Tháng 6'!$B$8:$B$407,"&gt;="&amp;$B34,'Tháng 6'!$B$8:$B$407,"&lt;="&amp;$C34)+SUMIFS('Tháng 7'!$J$8:$J$407,'Tháng 7'!$B$8:$B$407,"&gt;="&amp;$B34,'Tháng 7'!$B$8:$B$407,"&lt;="&amp;$C34)+SUMIFS('Tháng 8'!$J$8:$J$407,'Tháng 8'!$B$8:$B$407,"&gt;="&amp;$B34,'Tháng 8'!$B$8:$B$407,"&lt;="&amp;$C34)+SUMIFS('Tháng 9'!$J$8:$J$407,'Tháng 9'!$B$8:$B$407,"&gt;="&amp;$B34,'Tháng 9'!$B$8:$B$407,"&lt;="&amp;$C34)+SUMIFS('Tháng 10'!$J$8:$J$407,'Tháng 10'!$B$8:$B$407,"&gt;="&amp;$B34,'Tháng 10'!$B$8:$B$407,"&lt;="&amp;$C34)+SUMIFS('Tháng 11'!$J$8:$J$407,'Tháng 11'!$B$8:$B$407,"&gt;="&amp;$B34,'Tháng 11'!$B$8:$B$407,"&lt;="&amp;$C34)+SUMIFS('Tháng 12'!$J$8:$J$407,'Tháng 12'!$B$8:$B$407,"&gt;="&amp;$B34,'Tháng 12'!$B$8:$B$407,"&lt;="&amp;$C34)</f>
        <v>0</v>
      </c>
    </row>
    <row r="35" customFormat="false" ht="15" hidden="false" customHeight="false" outlineLevel="0" collapsed="false">
      <c r="A35" s="26" t="s">
        <v>140</v>
      </c>
      <c r="B35" s="18" t="n">
        <v>46356</v>
      </c>
      <c r="C35" s="18" t="n">
        <v>46362</v>
      </c>
      <c r="D35" s="19" t="n">
        <f aca="false">SUMIFS('Tháng 6'!$J$8:$J$407,'Tháng 6'!$B$8:$B$407,"&gt;="&amp;$B35,'Tháng 6'!$B$8:$B$407,"&lt;="&amp;$C35)+SUMIFS('Tháng 7'!$J$8:$J$407,'Tháng 7'!$B$8:$B$407,"&gt;="&amp;$B35,'Tháng 7'!$B$8:$B$407,"&lt;="&amp;$C35)+SUMIFS('Tháng 8'!$J$8:$J$407,'Tháng 8'!$B$8:$B$407,"&gt;="&amp;$B35,'Tháng 8'!$B$8:$B$407,"&lt;="&amp;$C35)+SUMIFS('Tháng 9'!$J$8:$J$407,'Tháng 9'!$B$8:$B$407,"&gt;="&amp;$B35,'Tháng 9'!$B$8:$B$407,"&lt;="&amp;$C35)+SUMIFS('Tháng 10'!$J$8:$J$407,'Tháng 10'!$B$8:$B$407,"&gt;="&amp;$B35,'Tháng 10'!$B$8:$B$407,"&lt;="&amp;$C35)+SUMIFS('Tháng 11'!$J$8:$J$407,'Tháng 11'!$B$8:$B$407,"&gt;="&amp;$B35,'Tháng 11'!$B$8:$B$407,"&lt;="&amp;$C35)+SUMIFS('Tháng 12'!$J$8:$J$407,'Tháng 12'!$B$8:$B$407,"&gt;="&amp;$B35,'Tháng 12'!$B$8:$B$407,"&lt;="&amp;$C35)</f>
        <v>0</v>
      </c>
    </row>
    <row r="36" customFormat="false" ht="15" hidden="false" customHeight="false" outlineLevel="0" collapsed="false">
      <c r="A36" s="26" t="s">
        <v>141</v>
      </c>
      <c r="B36" s="18" t="n">
        <v>46363</v>
      </c>
      <c r="C36" s="18" t="n">
        <v>46369</v>
      </c>
      <c r="D36" s="19" t="n">
        <f aca="false">SUMIFS('Tháng 6'!$J$8:$J$407,'Tháng 6'!$B$8:$B$407,"&gt;="&amp;$B36,'Tháng 6'!$B$8:$B$407,"&lt;="&amp;$C36)+SUMIFS('Tháng 7'!$J$8:$J$407,'Tháng 7'!$B$8:$B$407,"&gt;="&amp;$B36,'Tháng 7'!$B$8:$B$407,"&lt;="&amp;$C36)+SUMIFS('Tháng 8'!$J$8:$J$407,'Tháng 8'!$B$8:$B$407,"&gt;="&amp;$B36,'Tháng 8'!$B$8:$B$407,"&lt;="&amp;$C36)+SUMIFS('Tháng 9'!$J$8:$J$407,'Tháng 9'!$B$8:$B$407,"&gt;="&amp;$B36,'Tháng 9'!$B$8:$B$407,"&lt;="&amp;$C36)+SUMIFS('Tháng 10'!$J$8:$J$407,'Tháng 10'!$B$8:$B$407,"&gt;="&amp;$B36,'Tháng 10'!$B$8:$B$407,"&lt;="&amp;$C36)+SUMIFS('Tháng 11'!$J$8:$J$407,'Tháng 11'!$B$8:$B$407,"&gt;="&amp;$B36,'Tháng 11'!$B$8:$B$407,"&lt;="&amp;$C36)+SUMIFS('Tháng 12'!$J$8:$J$407,'Tháng 12'!$B$8:$B$407,"&gt;="&amp;$B36,'Tháng 12'!$B$8:$B$407,"&lt;="&amp;$C36)</f>
        <v>0</v>
      </c>
    </row>
    <row r="37" customFormat="false" ht="15" hidden="false" customHeight="false" outlineLevel="0" collapsed="false">
      <c r="A37" s="26" t="s">
        <v>142</v>
      </c>
      <c r="B37" s="18" t="n">
        <v>46370</v>
      </c>
      <c r="C37" s="18" t="n">
        <v>46376</v>
      </c>
      <c r="D37" s="19" t="n">
        <f aca="false">SUMIFS('Tháng 6'!$J$8:$J$407,'Tháng 6'!$B$8:$B$407,"&gt;="&amp;$B37,'Tháng 6'!$B$8:$B$407,"&lt;="&amp;$C37)+SUMIFS('Tháng 7'!$J$8:$J$407,'Tháng 7'!$B$8:$B$407,"&gt;="&amp;$B37,'Tháng 7'!$B$8:$B$407,"&lt;="&amp;$C37)+SUMIFS('Tháng 8'!$J$8:$J$407,'Tháng 8'!$B$8:$B$407,"&gt;="&amp;$B37,'Tháng 8'!$B$8:$B$407,"&lt;="&amp;$C37)+SUMIFS('Tháng 9'!$J$8:$J$407,'Tháng 9'!$B$8:$B$407,"&gt;="&amp;$B37,'Tháng 9'!$B$8:$B$407,"&lt;="&amp;$C37)+SUMIFS('Tháng 10'!$J$8:$J$407,'Tháng 10'!$B$8:$B$407,"&gt;="&amp;$B37,'Tháng 10'!$B$8:$B$407,"&lt;="&amp;$C37)+SUMIFS('Tháng 11'!$J$8:$J$407,'Tháng 11'!$B$8:$B$407,"&gt;="&amp;$B37,'Tháng 11'!$B$8:$B$407,"&lt;="&amp;$C37)+SUMIFS('Tháng 12'!$J$8:$J$407,'Tháng 12'!$B$8:$B$407,"&gt;="&amp;$B37,'Tháng 12'!$B$8:$B$407,"&lt;="&amp;$C37)</f>
        <v>0</v>
      </c>
    </row>
    <row r="38" customFormat="false" ht="15" hidden="false" customHeight="false" outlineLevel="0" collapsed="false">
      <c r="A38" s="26" t="s">
        <v>143</v>
      </c>
      <c r="B38" s="18" t="n">
        <v>46377</v>
      </c>
      <c r="C38" s="18" t="n">
        <v>46383</v>
      </c>
      <c r="D38" s="19" t="n">
        <f aca="false">SUMIFS('Tháng 6'!$J$8:$J$407,'Tháng 6'!$B$8:$B$407,"&gt;="&amp;$B38,'Tháng 6'!$B$8:$B$407,"&lt;="&amp;$C38)+SUMIFS('Tháng 7'!$J$8:$J$407,'Tháng 7'!$B$8:$B$407,"&gt;="&amp;$B38,'Tháng 7'!$B$8:$B$407,"&lt;="&amp;$C38)+SUMIFS('Tháng 8'!$J$8:$J$407,'Tháng 8'!$B$8:$B$407,"&gt;="&amp;$B38,'Tháng 8'!$B$8:$B$407,"&lt;="&amp;$C38)+SUMIFS('Tháng 9'!$J$8:$J$407,'Tháng 9'!$B$8:$B$407,"&gt;="&amp;$B38,'Tháng 9'!$B$8:$B$407,"&lt;="&amp;$C38)+SUMIFS('Tháng 10'!$J$8:$J$407,'Tháng 10'!$B$8:$B$407,"&gt;="&amp;$B38,'Tháng 10'!$B$8:$B$407,"&lt;="&amp;$C38)+SUMIFS('Tháng 11'!$J$8:$J$407,'Tháng 11'!$B$8:$B$407,"&gt;="&amp;$B38,'Tháng 11'!$B$8:$B$407,"&lt;="&amp;$C38)+SUMIFS('Tháng 12'!$J$8:$J$407,'Tháng 12'!$B$8:$B$407,"&gt;="&amp;$B38,'Tháng 12'!$B$8:$B$407,"&lt;="&amp;$C38)</f>
        <v>0</v>
      </c>
    </row>
    <row r="39" customFormat="false" ht="15" hidden="false" customHeight="false" outlineLevel="0" collapsed="false">
      <c r="A39" s="26" t="s">
        <v>144</v>
      </c>
      <c r="B39" s="18" t="n">
        <v>46384</v>
      </c>
      <c r="C39" s="18" t="n">
        <v>46390</v>
      </c>
      <c r="D39" s="19" t="n">
        <f aca="false">SUMIFS('Tháng 6'!$J$8:$J$407,'Tháng 6'!$B$8:$B$407,"&gt;="&amp;$B39,'Tháng 6'!$B$8:$B$407,"&lt;="&amp;$C39)+SUMIFS('Tháng 7'!$J$8:$J$407,'Tháng 7'!$B$8:$B$407,"&gt;="&amp;$B39,'Tháng 7'!$B$8:$B$407,"&lt;="&amp;$C39)+SUMIFS('Tháng 8'!$J$8:$J$407,'Tháng 8'!$B$8:$B$407,"&gt;="&amp;$B39,'Tháng 8'!$B$8:$B$407,"&lt;="&amp;$C39)+SUMIFS('Tháng 9'!$J$8:$J$407,'Tháng 9'!$B$8:$B$407,"&gt;="&amp;$B39,'Tháng 9'!$B$8:$B$407,"&lt;="&amp;$C39)+SUMIFS('Tháng 10'!$J$8:$J$407,'Tháng 10'!$B$8:$B$407,"&gt;="&amp;$B39,'Tháng 10'!$B$8:$B$407,"&lt;="&amp;$C39)+SUMIFS('Tháng 11'!$J$8:$J$407,'Tháng 11'!$B$8:$B$407,"&gt;="&amp;$B39,'Tháng 11'!$B$8:$B$407,"&lt;="&amp;$C39)+SUMIFS('Tháng 12'!$J$8:$J$407,'Tháng 12'!$B$8:$B$407,"&gt;="&amp;$B39,'Tháng 12'!$B$8:$B$407,"&lt;="&amp;$C39)</f>
        <v>0</v>
      </c>
    </row>
  </sheetData>
  <mergeCells count="8">
    <mergeCell ref="A1:I1"/>
    <mergeCell ref="A3:D3"/>
    <mergeCell ref="A4:B4"/>
    <mergeCell ref="A5:B5"/>
    <mergeCell ref="A7:D7"/>
    <mergeCell ref="F7:I7"/>
    <mergeCell ref="F17:I17"/>
    <mergeCell ref="F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2026-07-21T04:38:36Z</dcterms:created>
  <dc:creator>openpyxl</dc:creator>
  <dc:description/>
  <dc:language>en-US</dc:language>
  <cp:lastModifiedBy/>
  <dcterms:modified xsi:type="dcterms:W3CDTF">2026-07-21T04:38:36Z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