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Tháng 6" sheetId="2" state="visible" r:id="rId4"/>
    <sheet name="Tháng 7" sheetId="3" state="visible" r:id="rId5"/>
    <sheet name="Tháng 8" sheetId="4" state="visible" r:id="rId6"/>
    <sheet name="Tháng 9" sheetId="5" state="visible" r:id="rId7"/>
    <sheet name="Tháng 10" sheetId="6" state="visible" r:id="rId8"/>
    <sheet name="Tháng 11" sheetId="7" state="visible" r:id="rId9"/>
    <sheet name="Tháng 12" sheetId="8" state="visible" r:id="rId10"/>
    <sheet name="BÁO CÁO N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<sst xmlns="http://schemas.openxmlformats.org/spreadsheetml/2006/main" count="629" uniqueCount="155">
  <si>
    <t xml:space="preserve">HƯỚNG DẪN SỬ DỤNG FILE BÁO CÁO DOANH THU - THÔNG TIN ĐƠN HÀNG (THÁNG 6 - THÁNG 12/2026)</t>
  </si>
  <si>
    <t xml:space="preserve">1. CẤU TRÚC FILE</t>
  </si>
  <si>
    <t xml:space="preserve">   • 7 sheet 'Tháng 6' → 'Tháng 12': nhập đơn hàng của từng tháng, mỗi tháng 1 sheet riêng (mỗi tab 1 màu).</t>
  </si>
  <si>
    <t xml:space="preserve">   • Mỗi tháng chia sẵn 4 KHỐI TUẦN: Tuần 1 (ngày 1-7) · Tuần 2 (ngày 8-14) · Tuần 3 (ngày 15-21) · Tuần 4 (ngày 22-cuối tháng).</t>
  </si>
  <si>
    <t xml:space="preserve">   • Mỗi tuần có 80 dòng nhập; ngay trên đầu mỗi khối là DOANH THU TUẦN tự cộng.</t>
  </si>
  <si>
    <t xml:space="preserve">   • Sheet 'BÁO CÁO NĂM': tự động tính doanh thu theo NGÀY - TUẦN - THÁNG - QUÝ - NĂM, không cần nhập gì thêm.</t>
  </si>
  <si>
    <t xml:space="preserve">2. CÁCH NHẬP LIỆU (trong các sheet tháng)</t>
  </si>
  <si>
    <t xml:space="preserve">   • Nhập đơn vào đúng KHỐI TUẦN chứa ngày đặt (ví dụ đơn ngày 21/07 → khối TUẦN 3 của sheet Tháng 7).</t>
  </si>
  <si>
    <t xml:space="preserve">   • Chỉ nhập các cột: NGÀY ĐẶT, TÊN KHÁCH HÀNG, CÔNG TY, MÃ SỐ THUẾ, SỐ ĐIỆN THOẠI, TÊN SẢN PHẨM, SỐ LƯỢNG, ĐƠN GIÁ, HÌNH ẢNH, TÌNH TRẠNG CHUYỂN KHOẢN, ĐỊA CHỈ GIAO HÀNG, GHI CHÚ.</t>
  </si>
  <si>
    <t xml:space="preserve">   • Cột STT và THÀNH TIỀN tự tính, KHÔNG sửa (Thành tiền = Số lượng × Đơn giá).</t>
  </si>
  <si>
    <t xml:space="preserve">   • NGÀY ĐẶT nhập dạng dd/mm/yyyy (ví dụ 05/07/2026) — bắt buộc đúng định dạng thì báo cáo mới tính được.</t>
  </si>
  <si>
    <t xml:space="preserve">   • SỐ LƯỢNG và ĐƠN GIÁ chỉ gõ số (ví dụ 50 và 85000) — không gõ chữ 'cái', 'đ', dấu chấm phẩy.</t>
  </si>
  <si>
    <t xml:space="preserve">   • TÌNH TRẠNG CHUYỂN KHOẢN: bấm vào ô sẽ có danh sách chọn 'Đã chuyển khoản' / 'Chưa chuyển khoản' (ô tự đổi màu xanh/đỏ).</t>
  </si>
  <si>
    <t xml:space="preserve">   • Sheet 'Tháng 6' có sẵn 3 dòng VÍ DỤ MẪU (chữ màu xanh dương) — hãy xóa hoặc ghi đè bằng dữ liệu thật của bạn.</t>
  </si>
  <si>
    <t xml:space="preserve">3. CÁCH CHÈN HÌNH ẢNH SẢN PHẨM VÀO Ô</t>
  </si>
  <si>
    <t xml:space="preserve">   • Trên Google Sheets: bấm chọn ô ở cột HÌNH ẢNH SẢN PHẨM → menu Chèn (Insert) → Hình ảnh (Image) → 'Chèn hình ảnh trong ô' (Insert image in cell).</t>
  </si>
  <si>
    <t xml:space="preserve">   • Trên Excel: chọn ô → Insert → Pictures → Place in Cell.</t>
  </si>
  <si>
    <t xml:space="preserve">4. BẢNG DOANH THU THEO NGÀY (bên phải mỗi sheet tháng, cột P-Q)</t>
  </si>
  <si>
    <t xml:space="preserve">   • Tự cộng doanh thu của từng ngày trong tháng đó, kể cả nhiều đơn cùng 1 ngày.</t>
  </si>
  <si>
    <t xml:space="preserve">   • File 'thông tin khách hàng đặt hàng' (file riêng) tự kéo NGÀY ĐẶT - TÊN - SĐT - ĐỊA CHỈ từ file này sang, không cần nhập lại.</t>
  </si>
  <si>
    <t xml:space="preserve">5. SHEET 'BÁO CÁO NĂM'</t>
  </si>
  <si>
    <t xml:space="preserve">   • TRA CỨU THEO NGÀY: gõ 1 ngày bất kỳ vào ô màu VÀNG → ô bên cạnh hiện doanh thu của đúng ngày đó.</t>
  </si>
  <si>
    <t xml:space="preserve">   • DOANH THU THEO TUẦN: mỗi tháng 4 tuần (đúng theo khối tuần bạn nhập), tự cộng.</t>
  </si>
  <si>
    <t xml:space="preserve">   • DOANH THU THEO THÁNG / QUÝ / NĂM: tự động lấy từ các sheet tháng, kèm tổng ĐÃ và CHƯA chuyển khoản.</t>
  </si>
  <si>
    <t xml:space="preserve">6. THÊM DÒNG KHI 1 TUẦN HẾT CHỖ</t>
  </si>
  <si>
    <t xml:space="preserve">   • Bôi đen 1 dòng Ở GIỮA khối tuần đó → chuột phải → 'Chèn 1 hàng phía trên', rồi kéo công thức cột STT và THÀNH TIỀN từ dòng trên xuống.</t>
  </si>
  <si>
    <t xml:space="preserve">   • KHÔNG nhập dữ liệu ra ngoài các khối tuần — báo cáo sẽ không cộng phần đó.</t>
  </si>
  <si>
    <t xml:space="preserve">7. QUY ƯỚC MÀU</t>
  </si>
  <si>
    <t xml:space="preserve">   • Chữ XANH DƯƠNG: dữ liệu ví dụ / ô người dùng nhập.  • Chữ ĐEN: công thức tự tính.  • Chữ XANH LÁ: số lấy từ sheet khác.  • Ô nền VÀNG: ô cần bạn nhập.</t>
  </si>
  <si>
    <t xml:space="preserve">BÁO CÁO DOANH THU THÁNG 6/2026</t>
  </si>
  <si>
    <t xml:space="preserve">TỔNG DOANH THU THÁNG (đ):</t>
  </si>
  <si>
    <t xml:space="preserve">ĐÃ CHUYỂN KHOẢN (đ):</t>
  </si>
  <si>
    <t xml:space="preserve">CHƯA CHUYỂN KHOẢN (đ):</t>
  </si>
  <si>
    <t xml:space="preserve">DOANH THU THEO NGÀY</t>
  </si>
  <si>
    <t xml:space="preserve">NGÀY</t>
  </si>
  <si>
    <t xml:space="preserve">DOANH THU (đ)</t>
  </si>
  <si>
    <t xml:space="preserve">TUẦN 1  (01/06 → 07/06)   —   DOANH THU TUẦN (đ):</t>
  </si>
  <si>
    <t xml:space="preserve">STT</t>
  </si>
  <si>
    <t xml:space="preserve">NGÀY ĐẶT</t>
  </si>
  <si>
    <t xml:space="preserve">TÊN KHÁCH HÀNG</t>
  </si>
  <si>
    <t xml:space="preserve">CÔNG TY</t>
  </si>
  <si>
    <t xml:space="preserve">MÃ SỐ THUẾ</t>
  </si>
  <si>
    <t xml:space="preserve">SỐ ĐIỆN THOẠI</t>
  </si>
  <si>
    <t xml:space="preserve">TÊN SẢN PHẨM</t>
  </si>
  <si>
    <t xml:space="preserve">SỐ LƯỢNG</t>
  </si>
  <si>
    <t xml:space="preserve">ĐƠN GIÁ (đ)</t>
  </si>
  <si>
    <t xml:space="preserve">THÀNH TIỀN (đ)</t>
  </si>
  <si>
    <t xml:space="preserve">HÌNH ẢNH SẢN PHẨM</t>
  </si>
  <si>
    <t xml:space="preserve">TÌNH TRẠNG CHUYỂN KHOẢN</t>
  </si>
  <si>
    <t xml:space="preserve">ĐỊA CHỈ GIAO HÀNG</t>
  </si>
  <si>
    <t xml:space="preserve">GHI CHÚ</t>
  </si>
  <si>
    <t xml:space="preserve">Nguyễn Văn An</t>
  </si>
  <si>
    <t xml:space="preserve">Công ty TNHH Thương Mại ABC</t>
  </si>
  <si>
    <t xml:space="preserve">0312345678</t>
  </si>
  <si>
    <t xml:space="preserve">0901234567</t>
  </si>
  <si>
    <t xml:space="preserve">Bình giữ nhiệt in logo</t>
  </si>
  <si>
    <t xml:space="preserve">(chèn ảnh vào ô này)</t>
  </si>
  <si>
    <t xml:space="preserve">Đã chuyển khoản</t>
  </si>
  <si>
    <t xml:space="preserve">12 Nguyễn Trãi, Thanh Xuân, Hà Nội</t>
  </si>
  <si>
    <t xml:space="preserve">Giao đợt 1 (VÍ DỤ MẪU)</t>
  </si>
  <si>
    <t xml:space="preserve">CỘNG THÁNG</t>
  </si>
  <si>
    <t xml:space="preserve">TUẦN 2  (08/06 → 14/06)   —   DOANH THU TUẦN (đ):</t>
  </si>
  <si>
    <t xml:space="preserve">Trần Thị Bích</t>
  </si>
  <si>
    <t xml:space="preserve">Công ty CP Đầu Tư XYZ</t>
  </si>
  <si>
    <t xml:space="preserve">0109876543</t>
  </si>
  <si>
    <t xml:space="preserve">0987654321</t>
  </si>
  <si>
    <t xml:space="preserve">Sổ tay da in logo</t>
  </si>
  <si>
    <t xml:space="preserve">Chưa chuyển khoản</t>
  </si>
  <si>
    <t xml:space="preserve">45 Lê Lợi, Quận 1, TP.HCM</t>
  </si>
  <si>
    <t xml:space="preserve">(VÍ DỤ MẪU)</t>
  </si>
  <si>
    <t xml:space="preserve">TUẦN 3  (15/06 → 21/06)   —   DOANH THU TUẦN (đ):</t>
  </si>
  <si>
    <t xml:space="preserve">Lê Minh Cường</t>
  </si>
  <si>
    <t xml:space="preserve">Công ty TNHH DEF</t>
  </si>
  <si>
    <t xml:space="preserve">0301122334</t>
  </si>
  <si>
    <t xml:space="preserve">0912345678</t>
  </si>
  <si>
    <t xml:space="preserve">Bút ký khắc tên</t>
  </si>
  <si>
    <t xml:space="preserve">88 Trần Phú, Hải Châu, Đà Nẵng</t>
  </si>
  <si>
    <t xml:space="preserve">Khách quen (VÍ DỤ MẪU)</t>
  </si>
  <si>
    <t xml:space="preserve">TUẦN 4  (22/06 → 30/06)   —   DOANH THU TUẦN (đ):</t>
  </si>
  <si>
    <t xml:space="preserve">BÁO CÁO DOANH THU THÁNG 7/2026</t>
  </si>
  <si>
    <t xml:space="preserve">TUẦN 1  (01/07 → 07/07)   —   DOANH THU TUẦN (đ):</t>
  </si>
  <si>
    <t xml:space="preserve">TUẦN 2  (08/07 → 14/07)   —   DOANH THU TUẦN (đ):</t>
  </si>
  <si>
    <t xml:space="preserve">TUẦN 3  (15/07 → 21/07)   —   DOANH THU TUẦN (đ):</t>
  </si>
  <si>
    <t xml:space="preserve">cty flc</t>
  </si>
  <si>
    <t xml:space="preserve">ctyflc</t>
  </si>
  <si>
    <t xml:space="preserve">2500740944</t>
  </si>
  <si>
    <t xml:space="preserve">0866688324</t>
  </si>
  <si>
    <t xml:space="preserve">tedy 25cm</t>
  </si>
  <si>
    <t xml:space="preserve">khách cũ</t>
  </si>
  <si>
    <t xml:space="preserve">flc 1</t>
  </si>
  <si>
    <t xml:space="preserve">nvk</t>
  </si>
  <si>
    <t xml:space="preserve">tedty 30</t>
  </si>
  <si>
    <t xml:space="preserve">TUẦN 4  (22/07 → 31/07)   —   DOANH THU TUẦN (đ):</t>
  </si>
  <si>
    <t xml:space="preserve">BÁO CÁO DOANH THU THÁNG 8/2026</t>
  </si>
  <si>
    <t xml:space="preserve">TUẦN 1  (01/08 → 07/08)   —   DOANH THU TUẦN (đ):</t>
  </si>
  <si>
    <t xml:space="preserve">TUẦN 2  (08/08 → 14/08)   —   DOANH THU TUẦN (đ):</t>
  </si>
  <si>
    <t xml:space="preserve">TUẦN 3  (15/08 → 21/08)   —   DOANH THU TUẦN (đ):</t>
  </si>
  <si>
    <t xml:space="preserve">TUẦN 4  (22/08 → 31/08)   —   DOANH THU TUẦN (đ):</t>
  </si>
  <si>
    <t xml:space="preserve">BÁO CÁO DOANH THU THÁNG 9/2026</t>
  </si>
  <si>
    <t xml:space="preserve">TUẦN 1  (01/09 → 07/09)   —   DOANH THU TUẦN (đ):</t>
  </si>
  <si>
    <t xml:space="preserve">TUẦN 2  (08/09 → 14/09)   —   DOANH THU TUẦN (đ):</t>
  </si>
  <si>
    <t xml:space="preserve">TUẦN 3  (15/09 → 21/09)   —   DOANH THU TUẦN (đ):</t>
  </si>
  <si>
    <t xml:space="preserve">TUẦN 4  (22/09 → 30/09)   —   DOANH THU TUẦN (đ):</t>
  </si>
  <si>
    <t xml:space="preserve">BÁO CÁO DOANH THU THÁNG 10/2026</t>
  </si>
  <si>
    <t xml:space="preserve">TUẦN 1  (01/10 → 07/10)   —   DOANH THU TUẦN (đ):</t>
  </si>
  <si>
    <t xml:space="preserve">TUẦN 2  (08/10 → 14/10)   —   DOANH THU TUẦN (đ):</t>
  </si>
  <si>
    <t xml:space="preserve">TUẦN 3  (15/10 → 21/10)   —   DOANH THU TUẦN (đ):</t>
  </si>
  <si>
    <t xml:space="preserve">TUẦN 4  (22/10 → 31/10)   —   DOANH THU TUẦN (đ):</t>
  </si>
  <si>
    <t xml:space="preserve">BÁO CÁO DOANH THU THÁNG 11/2026</t>
  </si>
  <si>
    <t xml:space="preserve">TUẦN 1  (01/11 → 07/11)   —   DOANH THU TUẦN (đ):</t>
  </si>
  <si>
    <t xml:space="preserve">TUẦN 2  (08/11 → 14/11)   —   DOANH THU TUẦN (đ):</t>
  </si>
  <si>
    <t xml:space="preserve">TUẦN 3  (15/11 → 21/11)   —   DOANH THU TUẦN (đ):</t>
  </si>
  <si>
    <t xml:space="preserve">TUẦN 4  (22/11 → 30/11)   —   DOANH THU TUẦN (đ):</t>
  </si>
  <si>
    <t xml:space="preserve">BÁO CÁO DOANH THU THÁNG 12/2026</t>
  </si>
  <si>
    <t xml:space="preserve">TUẦN 1  (01/12 → 07/12)   —   DOANH THU TUẦN (đ):</t>
  </si>
  <si>
    <t xml:space="preserve">TUẦN 2  (08/12 → 14/12)   —   DOANH THU TUẦN (đ):</t>
  </si>
  <si>
    <t xml:space="preserve">TUẦN 3  (15/12 → 21/12)   —   DOANH THU TUẦN (đ):</t>
  </si>
  <si>
    <t xml:space="preserve">TUẦN 4  (22/12 → 31/12)   —   DOANH THU TUẦN (đ):</t>
  </si>
  <si>
    <t xml:space="preserve">BÁO CÁO TỔNG HỢP DOANH THU NĂM 2026 (THÁNG 6 → THÁNG 12)</t>
  </si>
  <si>
    <t xml:space="preserve">1. TRA CỨU DOANH THU THEO NGÀY</t>
  </si>
  <si>
    <t xml:space="preserve">Nhập ngày cần xem:</t>
  </si>
  <si>
    <t xml:space="preserve">→ Doanh thu ngày đó hiện ở ô D4</t>
  </si>
  <si>
    <t xml:space="preserve">2. DOANH THU THEO TUẦN (khớp với khối tuần bạn nhập)</t>
  </si>
  <si>
    <t xml:space="preserve">3. DOANH THU THEO THÁNG</t>
  </si>
  <si>
    <t xml:space="preserve">THÁNG</t>
  </si>
  <si>
    <t xml:space="preserve">TUẦN</t>
  </si>
  <si>
    <t xml:space="preserve">TỪ NGÀY</t>
  </si>
  <si>
    <t xml:space="preserve">ĐẾN NGÀY</t>
  </si>
  <si>
    <t xml:space="preserve">ĐÃ CK (đ)</t>
  </si>
  <si>
    <t xml:space="preserve">CHƯA CK (đ)</t>
  </si>
  <si>
    <t xml:space="preserve">Tháng 6</t>
  </si>
  <si>
    <t xml:space="preserve">Tuần 1</t>
  </si>
  <si>
    <t xml:space="preserve">Tháng 6/2026</t>
  </si>
  <si>
    <t xml:space="preserve">Tuần 2</t>
  </si>
  <si>
    <t xml:space="preserve">Tháng 7/2026</t>
  </si>
  <si>
    <t xml:space="preserve">Tuần 3</t>
  </si>
  <si>
    <t xml:space="preserve">Tháng 8/2026</t>
  </si>
  <si>
    <t xml:space="preserve">Tuần 4</t>
  </si>
  <si>
    <t xml:space="preserve">Tháng 9/2026</t>
  </si>
  <si>
    <t xml:space="preserve">Tháng 7</t>
  </si>
  <si>
    <t xml:space="preserve">Tháng 10/2026</t>
  </si>
  <si>
    <t xml:space="preserve">Tháng 11/2026</t>
  </si>
  <si>
    <t xml:space="preserve">Tháng 12/2026</t>
  </si>
  <si>
    <t xml:space="preserve">Tháng 8</t>
  </si>
  <si>
    <t xml:space="preserve">4. DOANH THU THEO QUÝ</t>
  </si>
  <si>
    <t xml:space="preserve">Quý 2/2026 (chỉ có T6)</t>
  </si>
  <si>
    <t xml:space="preserve">Quý 3/2026 (T7-T9)</t>
  </si>
  <si>
    <t xml:space="preserve">Quý 4/2026 (T10-T12)</t>
  </si>
  <si>
    <t xml:space="preserve">Tháng 9</t>
  </si>
  <si>
    <t xml:space="preserve">5. DOANH THU CẢ NĂM 2026</t>
  </si>
  <si>
    <t xml:space="preserve">TỔNG NĂM 2026</t>
  </si>
  <si>
    <t xml:space="preserve">Tháng 10</t>
  </si>
  <si>
    <t xml:space="preserve">Ghi chú: file theo dõi từ Tháng 6 đến Tháng 12/2026 nên Tổng năm = Quý 2 (chỉ T6) + Quý 3 + Quý 4. Tuần chia theo ngày trong tháng: 1-7, 8-14, 15-21, 22-cuối tháng.</t>
  </si>
  <si>
    <t xml:space="preserve">Tháng 11</t>
  </si>
  <si>
    <t xml:space="preserve">Tháng 12</t>
  </si>
</sst>
</file>

<file path=xl/styles.xml><?xml version="1.0" encoding="utf-8"?>
<styleSheet xmlns="http://schemas.openxmlformats.org/spreadsheetml/2006/main">
  <numFmts count="6">
    <numFmt numFmtId="164" formatCode="General"/>
    <numFmt numFmtId="165" formatCode="dd/mm/yyyy"/>
    <numFmt numFmtId="166" formatCode="@"/>
    <numFmt numFmtId="167" formatCode="#,##0"/>
    <numFmt numFmtId="168" formatCode="#,##0;\(#,##0\);\-"/>
    <numFmt numFmtId="169"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name val="Arial"/>
      <family val="0"/>
      <charset val="1"/>
    </font>
    <font>
      <sz val="10"/>
      <name val="Arial"/>
      <family val="0"/>
      <charset val="1"/>
    </font>
    <font>
      <b val="true"/>
      <sz val="14"/>
      <color rgb="FFFFFFFF"/>
      <name val="Arial"/>
      <family val="0"/>
      <charset val="1"/>
    </font>
    <font>
      <b val="true"/>
      <sz val="10"/>
      <color rgb="FFFFFFFF"/>
      <name val="Arial"/>
      <family val="0"/>
      <charset val="1"/>
    </font>
    <font>
      <b val="true"/>
      <sz val="11"/>
      <color rgb="FFFFFFFF"/>
      <name val="Arial"/>
      <family val="0"/>
      <charset val="1"/>
    </font>
    <font>
      <sz val="10"/>
      <color rgb="FF0000FF"/>
      <name val="Arial"/>
      <family val="0"/>
      <charset val="1"/>
    </font>
    <font>
      <i val="true"/>
      <sz val="10"/>
      <color rgb="FF808080"/>
      <name val="Arial"/>
      <family val="0"/>
      <charset val="1"/>
    </font>
    <font>
      <sz val="10"/>
      <color rgb="FF008000"/>
      <name val="Arial"/>
      <family val="0"/>
      <charset val="1"/>
    </font>
    <font>
      <b val="true"/>
      <sz val="12"/>
      <color rgb="FF1F4E78"/>
      <name val="Arial"/>
      <family val="0"/>
      <charset val="1"/>
    </font>
  </fonts>
  <fills count="8">
    <fill>
      <patternFill patternType="none"/>
    </fill>
    <fill>
      <patternFill patternType="gray125"/>
    </fill>
    <fill>
      <patternFill patternType="solid">
        <fgColor rgb="FF1F4E78"/>
        <bgColor rgb="FF305496"/>
      </patternFill>
    </fill>
    <fill>
      <patternFill patternType="solid">
        <fgColor rgb="FFDDEBF7"/>
        <bgColor rgb="FFCCFFFF"/>
      </patternFill>
    </fill>
    <fill>
      <patternFill patternType="solid">
        <fgColor rgb="FF2E75B6"/>
        <bgColor rgb="FF4472C4"/>
      </patternFill>
    </fill>
    <fill>
      <patternFill patternType="solid">
        <fgColor rgb="FF4472C4"/>
        <bgColor rgb="FF2E75B6"/>
      </patternFill>
    </fill>
    <fill>
      <patternFill patternType="solid">
        <fgColor rgb="FF305496"/>
        <bgColor rgb="FF1F4E78"/>
      </patternFill>
    </fill>
    <fill>
      <patternFill patternType="solid">
        <fgColor rgb="FFFFFF00"/>
        <bgColor rgb="FFFFFF0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true" applyAlignment="true" applyProtection="false">
      <alignment horizontal="left" vertical="center" textRotation="0" wrapText="true" indent="0" shrinkToFit="false"/>
      <protection locked="true" hidden="false"/>
    </xf>
    <xf numFmtId="168" fontId="9" fillId="5" borderId="0" xfId="0" applyFont="true" applyBorder="true" applyAlignment="true" applyProtection="false">
      <alignment horizontal="righ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right" vertical="center" textRotation="0" wrapText="false" indent="0" shrinkToFit="false"/>
      <protection locked="true" hidden="false"/>
    </xf>
    <xf numFmtId="169"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8" fontId="9" fillId="6" borderId="0" xfId="0" applyFont="true" applyBorder="true" applyAlignment="true" applyProtection="false">
      <alignment horizontal="right"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5" fontId="10"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8" fontId="6" fillId="3"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right" vertical="center"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7030A0"/>
      <rgbColor rgb="FFFFFFCC"/>
      <rgbColor rgb="FFDDEBF7"/>
      <rgbColor rgb="FF660066"/>
      <rgbColor rgb="FFFF8080"/>
      <rgbColor rgb="FF2E75B6"/>
      <rgbColor rgb="FFCCCCFF"/>
      <rgbColor rgb="FF000080"/>
      <rgbColor rgb="FFFF00FF"/>
      <rgbColor rgb="FFFFFF00"/>
      <rgbColor rgb="FF00FFFF"/>
      <rgbColor rgb="FF800080"/>
      <rgbColor rgb="FF800000"/>
      <rgbColor rgb="FF008080"/>
      <rgbColor rgb="FF0000FF"/>
      <rgbColor rgb="FF00B0B0"/>
      <rgbColor rgb="FFCCFFFF"/>
      <rgbColor rgb="FFC6EFCE"/>
      <rgbColor rgb="FFFFFF99"/>
      <rgbColor rgb="FF99CCFF"/>
      <rgbColor rgb="FFFF99CC"/>
      <rgbColor rgb="FFCC99FF"/>
      <rgbColor rgb="FFFFC7CE"/>
      <rgbColor rgb="FF4472C4"/>
      <rgbColor rgb="FF33CCCC"/>
      <rgbColor rgb="FF99CC00"/>
      <rgbColor rgb="FFFFC000"/>
      <rgbColor rgb="FFFF9900"/>
      <rgbColor rgb="FFED7D31"/>
      <rgbColor rgb="FF666699"/>
      <rgbColor rgb="FF70AD47"/>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7.35"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3" t="s">
        <v>3</v>
      </c>
    </row>
    <row r="7" customFormat="false" ht="15" hidden="false" customHeight="false" outlineLevel="0" collapsed="false">
      <c r="B7" s="3" t="s">
        <v>4</v>
      </c>
    </row>
    <row r="8" customFormat="false" ht="15" hidden="false" customHeight="false" outlineLevel="0" collapsed="false">
      <c r="B8" s="3" t="s">
        <v>5</v>
      </c>
    </row>
    <row r="9" customFormat="false" ht="15" hidden="false" customHeight="false" outlineLevel="0" collapsed="false">
      <c r="B9" s="3"/>
    </row>
    <row r="10" customFormat="false" ht="15" hidden="false" customHeight="false" outlineLevel="0" collapsed="false">
      <c r="B10" s="2" t="s">
        <v>6</v>
      </c>
    </row>
    <row r="11" customFormat="false" ht="15" hidden="false" customHeight="false" outlineLevel="0" collapsed="false">
      <c r="B11" s="3" t="s">
        <v>7</v>
      </c>
    </row>
    <row r="12" customFormat="false" ht="23.85" hidden="false" customHeight="false" outlineLevel="0" collapsed="false">
      <c r="B12" s="3" t="s">
        <v>8</v>
      </c>
    </row>
    <row r="13" customFormat="false" ht="15" hidden="false" customHeight="false" outlineLevel="0" collapsed="false">
      <c r="B13" s="3" t="s">
        <v>9</v>
      </c>
    </row>
    <row r="14" customFormat="false" ht="15" hidden="false" customHeight="false" outlineLevel="0" collapsed="false">
      <c r="B14" s="3" t="s">
        <v>10</v>
      </c>
    </row>
    <row r="15" customFormat="false" ht="15" hidden="false" customHeight="false" outlineLevel="0" collapsed="false">
      <c r="B15" s="3" t="s">
        <v>11</v>
      </c>
    </row>
    <row r="16" customFormat="false" ht="15" hidden="false" customHeight="false" outlineLevel="0" collapsed="false">
      <c r="B16" s="3" t="s">
        <v>12</v>
      </c>
    </row>
    <row r="17" customFormat="false" ht="15" hidden="false" customHeight="false" outlineLevel="0" collapsed="false">
      <c r="B17" s="3" t="s">
        <v>13</v>
      </c>
    </row>
    <row r="18" customFormat="false" ht="15" hidden="false" customHeight="false" outlineLevel="0" collapsed="false">
      <c r="B18" s="3"/>
    </row>
    <row r="19" customFormat="false" ht="15" hidden="false" customHeight="false" outlineLevel="0" collapsed="false">
      <c r="B19" s="2" t="s">
        <v>14</v>
      </c>
    </row>
    <row r="20" customFormat="false" ht="15" hidden="false" customHeight="false" outlineLevel="0" collapsed="false">
      <c r="B20" s="3" t="s">
        <v>15</v>
      </c>
    </row>
    <row r="21" customFormat="false" ht="15" hidden="false" customHeight="false" outlineLevel="0" collapsed="false">
      <c r="B21" s="3" t="s">
        <v>16</v>
      </c>
    </row>
    <row r="22" customFormat="false" ht="15" hidden="false" customHeight="false" outlineLevel="0" collapsed="false">
      <c r="B22" s="3"/>
    </row>
    <row r="23" customFormat="false" ht="15" hidden="false" customHeight="false" outlineLevel="0" collapsed="false">
      <c r="B23" s="2" t="s">
        <v>17</v>
      </c>
    </row>
    <row r="24" customFormat="false" ht="15" hidden="false" customHeight="false" outlineLevel="0" collapsed="false">
      <c r="B24" s="3" t="s">
        <v>18</v>
      </c>
    </row>
    <row r="25" customFormat="false" ht="15" hidden="false" customHeight="false" outlineLevel="0" collapsed="false">
      <c r="B25" s="3" t="s">
        <v>19</v>
      </c>
    </row>
    <row r="26" customFormat="false" ht="15" hidden="false" customHeight="false" outlineLevel="0" collapsed="false">
      <c r="B26" s="3"/>
    </row>
    <row r="27" customFormat="false" ht="15" hidden="false" customHeight="false" outlineLevel="0" collapsed="false">
      <c r="B27" s="2" t="s">
        <v>20</v>
      </c>
    </row>
    <row r="28" customFormat="false" ht="15" hidden="false" customHeight="false" outlineLevel="0" collapsed="false">
      <c r="B28" s="3" t="s">
        <v>21</v>
      </c>
    </row>
    <row r="29" customFormat="false" ht="15" hidden="false" customHeight="false" outlineLevel="0" collapsed="false">
      <c r="B29" s="3" t="s">
        <v>22</v>
      </c>
    </row>
    <row r="30" customFormat="false" ht="15" hidden="false" customHeight="false" outlineLevel="0" collapsed="false">
      <c r="B30" s="3" t="s">
        <v>23</v>
      </c>
    </row>
    <row r="31" customFormat="false" ht="15" hidden="false" customHeight="false" outlineLevel="0" collapsed="false">
      <c r="B31" s="3"/>
    </row>
    <row r="32" customFormat="false" ht="15" hidden="false" customHeight="false" outlineLevel="0" collapsed="false">
      <c r="B32" s="2" t="s">
        <v>24</v>
      </c>
    </row>
    <row r="33" customFormat="false" ht="15" hidden="false" customHeight="false" outlineLevel="0" collapsed="false">
      <c r="B33" s="3" t="s">
        <v>25</v>
      </c>
    </row>
    <row r="34" customFormat="false" ht="15" hidden="false" customHeight="false" outlineLevel="0" collapsed="false">
      <c r="B34" s="3" t="s">
        <v>26</v>
      </c>
    </row>
    <row r="35" customFormat="false" ht="15" hidden="false" customHeight="false" outlineLevel="0" collapsed="false">
      <c r="B35" s="3"/>
    </row>
    <row r="36" customFormat="false" ht="15" hidden="false" customHeight="false" outlineLevel="0" collapsed="false">
      <c r="B36" s="2" t="s">
        <v>27</v>
      </c>
    </row>
    <row r="37" customFormat="false" ht="15" hidden="false" customHeight="false" outlineLevel="0" collapsed="false">
      <c r="B37"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29</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21500000</v>
      </c>
    </row>
    <row r="4" customFormat="false" ht="15" hidden="false" customHeight="true" outlineLevel="0" collapsed="false">
      <c r="B4" s="11" t="s">
        <v>31</v>
      </c>
      <c r="C4" s="11"/>
      <c r="D4" s="12" t="n">
        <f aca="false">SUMIF($L$10:$L$335,"Đã chuyển khoản",$J$10:$J$335)</f>
        <v>15500000</v>
      </c>
    </row>
    <row r="5" customFormat="false" ht="15" hidden="false" customHeight="true" outlineLevel="0" collapsed="false">
      <c r="B5" s="11" t="s">
        <v>32</v>
      </c>
      <c r="C5" s="11"/>
      <c r="D5" s="12" t="n">
        <f aca="false">SUMIF($L$10:$L$335,"Chưa chuyển khoản",$J$10:$J$335)</f>
        <v>6000000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36</v>
      </c>
      <c r="B8" s="15"/>
      <c r="C8" s="15"/>
      <c r="D8" s="15"/>
      <c r="E8" s="15"/>
      <c r="F8" s="15"/>
      <c r="G8" s="15"/>
      <c r="H8" s="15"/>
      <c r="I8" s="15"/>
      <c r="J8" s="15"/>
      <c r="K8" s="16" t="n">
        <f aca="false">SUM($J$10:$J$89)</f>
        <v>8500000</v>
      </c>
      <c r="L8" s="16"/>
      <c r="M8" s="16"/>
      <c r="N8" s="16"/>
      <c r="P8" s="17" t="n">
        <v>46174</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46175</v>
      </c>
      <c r="Q9" s="18" t="n">
        <f aca="false">SUMIF($B$10:$B$335,$P9,$J$10:$J$335)</f>
        <v>0</v>
      </c>
    </row>
    <row r="10" customFormat="false" ht="15" hidden="false" customHeight="false" outlineLevel="0" collapsed="false">
      <c r="A10" s="19" t="n">
        <f aca="false">IF($B10="","",ROW()-9)</f>
        <v>1</v>
      </c>
      <c r="B10" s="20" t="n">
        <v>46176</v>
      </c>
      <c r="C10" s="21" t="s">
        <v>51</v>
      </c>
      <c r="D10" s="21" t="s">
        <v>52</v>
      </c>
      <c r="E10" s="22" t="s">
        <v>53</v>
      </c>
      <c r="F10" s="22" t="s">
        <v>54</v>
      </c>
      <c r="G10" s="21" t="s">
        <v>55</v>
      </c>
      <c r="H10" s="23" t="n">
        <v>100</v>
      </c>
      <c r="I10" s="24" t="n">
        <v>85000</v>
      </c>
      <c r="J10" s="18" t="n">
        <f aca="false">IF($H10="","",$H10*$I10)</f>
        <v>8500000</v>
      </c>
      <c r="K10" s="25" t="s">
        <v>56</v>
      </c>
      <c r="L10" s="21" t="s">
        <v>57</v>
      </c>
      <c r="M10" s="21" t="s">
        <v>58</v>
      </c>
      <c r="N10" s="21" t="s">
        <v>59</v>
      </c>
      <c r="P10" s="17" t="n">
        <v>46176</v>
      </c>
      <c r="Q10" s="18" t="n">
        <f aca="false">SUMIF($B$10:$B$335,$P10,$J$10:$J$335)</f>
        <v>8500000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46177</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46178</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46179</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46180</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46181</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46182</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46183</v>
      </c>
      <c r="Q17" s="18" t="n">
        <f aca="false">SUMIF($B$10:$B$335,$P17,$J$10:$J$335)</f>
        <v>6000000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46184</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46185</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46186</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46187</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46188</v>
      </c>
      <c r="Q22" s="18" t="n">
        <f aca="false">SUMIF($B$10:$B$335,$P22,$J$10:$J$335)</f>
        <v>7000000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46189</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46190</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46191</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46192</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46193</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46194</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46195</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46196</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46197</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46198</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46199</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46200</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46201</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46202</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46203</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31" t="s">
        <v>60</v>
      </c>
      <c r="Q38" s="32" t="n">
        <f aca="false">SUM($Q$8:$Q$37)</f>
        <v>21500000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61</v>
      </c>
      <c r="B90" s="33"/>
      <c r="C90" s="33"/>
      <c r="D90" s="33"/>
      <c r="E90" s="33"/>
      <c r="F90" s="33"/>
      <c r="G90" s="33"/>
      <c r="H90" s="33"/>
      <c r="I90" s="33"/>
      <c r="J90" s="33"/>
      <c r="K90" s="34" t="n">
        <f aca="false">SUM($J$92:$J$171)</f>
        <v>6000000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n">
        <f aca="false">IF($B92="","",ROW()-91)</f>
        <v>1</v>
      </c>
      <c r="B92" s="20" t="n">
        <v>46183</v>
      </c>
      <c r="C92" s="21" t="s">
        <v>62</v>
      </c>
      <c r="D92" s="21" t="s">
        <v>63</v>
      </c>
      <c r="E92" s="22" t="s">
        <v>64</v>
      </c>
      <c r="F92" s="22" t="s">
        <v>65</v>
      </c>
      <c r="G92" s="21" t="s">
        <v>66</v>
      </c>
      <c r="H92" s="23" t="n">
        <v>50</v>
      </c>
      <c r="I92" s="24" t="n">
        <v>120000</v>
      </c>
      <c r="J92" s="18" t="n">
        <f aca="false">IF($H92="","",$H92*$I92)</f>
        <v>6000000</v>
      </c>
      <c r="K92" s="25" t="s">
        <v>56</v>
      </c>
      <c r="L92" s="21" t="s">
        <v>67</v>
      </c>
      <c r="M92" s="21" t="s">
        <v>68</v>
      </c>
      <c r="N92" s="21" t="s">
        <v>69</v>
      </c>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70</v>
      </c>
      <c r="B172" s="15"/>
      <c r="C172" s="15"/>
      <c r="D172" s="15"/>
      <c r="E172" s="15"/>
      <c r="F172" s="15"/>
      <c r="G172" s="15"/>
      <c r="H172" s="15"/>
      <c r="I172" s="15"/>
      <c r="J172" s="15"/>
      <c r="K172" s="16" t="n">
        <f aca="false">SUM($J$174:$J$253)</f>
        <v>7000000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n">
        <f aca="false">IF($B174="","",ROW()-173)</f>
        <v>1</v>
      </c>
      <c r="B174" s="20" t="n">
        <v>46188</v>
      </c>
      <c r="C174" s="21" t="s">
        <v>71</v>
      </c>
      <c r="D174" s="21" t="s">
        <v>72</v>
      </c>
      <c r="E174" s="22" t="s">
        <v>73</v>
      </c>
      <c r="F174" s="22" t="s">
        <v>74</v>
      </c>
      <c r="G174" s="21" t="s">
        <v>75</v>
      </c>
      <c r="H174" s="23" t="n">
        <v>200</v>
      </c>
      <c r="I174" s="24" t="n">
        <v>35000</v>
      </c>
      <c r="J174" s="18" t="n">
        <f aca="false">IF($H174="","",$H174*$I174)</f>
        <v>7000000</v>
      </c>
      <c r="K174" s="25" t="s">
        <v>56</v>
      </c>
      <c r="L174" s="21" t="s">
        <v>57</v>
      </c>
      <c r="M174" s="21" t="s">
        <v>76</v>
      </c>
      <c r="N174" s="21" t="s">
        <v>77</v>
      </c>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78</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79</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97000000</v>
      </c>
    </row>
    <row r="4" customFormat="false" ht="15" hidden="false" customHeight="true" outlineLevel="0" collapsed="false">
      <c r="B4" s="11" t="s">
        <v>31</v>
      </c>
      <c r="C4" s="11"/>
      <c r="D4" s="12" t="n">
        <f aca="false">SUMIF($L$10:$L$335,"Đã chuyển khoản",$J$10:$J$335)</f>
        <v>50000000</v>
      </c>
    </row>
    <row r="5" customFormat="false" ht="15" hidden="false" customHeight="true" outlineLevel="0" collapsed="false">
      <c r="B5" s="11" t="s">
        <v>32</v>
      </c>
      <c r="C5" s="11"/>
      <c r="D5" s="12" t="n">
        <f aca="false">SUMIF($L$10:$L$335,"Chưa chuyển khoản",$J$10:$J$335)</f>
        <v>47000000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80</v>
      </c>
      <c r="B8" s="15"/>
      <c r="C8" s="15"/>
      <c r="D8" s="15"/>
      <c r="E8" s="15"/>
      <c r="F8" s="15"/>
      <c r="G8" s="15"/>
      <c r="H8" s="15"/>
      <c r="I8" s="15"/>
      <c r="J8" s="15"/>
      <c r="K8" s="16" t="n">
        <f aca="false">SUM($J$10:$J$89)</f>
        <v>0</v>
      </c>
      <c r="L8" s="16"/>
      <c r="M8" s="16"/>
      <c r="N8" s="16"/>
      <c r="P8" s="17" t="n">
        <v>46204</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46205</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46206</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46207</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46208</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46209</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46210</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46211</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46212</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46213</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46214</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46215</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46216</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46217</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46218</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46219</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46220</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46221</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46222</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46223</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46224</v>
      </c>
      <c r="Q28" s="18" t="n">
        <f aca="false">SUMIF($B$10:$B$335,$P28,$J$10:$J$335)</f>
        <v>97000000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46225</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46226</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46227</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46228</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46229</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46230</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46231</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46232</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46233</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17" t="n">
        <v>46234</v>
      </c>
      <c r="Q38" s="18" t="n">
        <f aca="false">SUMIF($B$10:$B$335,$P38,$J$10:$J$335)</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c r="P39" s="31" t="s">
        <v>60</v>
      </c>
      <c r="Q39" s="32" t="n">
        <f aca="false">SUM($Q$8:$Q$38)</f>
        <v>97000000</v>
      </c>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81</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82</v>
      </c>
      <c r="B172" s="15"/>
      <c r="C172" s="15"/>
      <c r="D172" s="15"/>
      <c r="E172" s="15"/>
      <c r="F172" s="15"/>
      <c r="G172" s="15"/>
      <c r="H172" s="15"/>
      <c r="I172" s="15"/>
      <c r="J172" s="15"/>
      <c r="K172" s="16" t="n">
        <f aca="false">SUM($J$174:$J$253)</f>
        <v>97000000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n">
        <f aca="false">IF($B174="","",ROW()-173)</f>
        <v>1</v>
      </c>
      <c r="B174" s="20" t="n">
        <v>46224</v>
      </c>
      <c r="C174" s="21" t="s">
        <v>83</v>
      </c>
      <c r="D174" s="21" t="s">
        <v>84</v>
      </c>
      <c r="E174" s="22" t="s">
        <v>85</v>
      </c>
      <c r="F174" s="22" t="s">
        <v>86</v>
      </c>
      <c r="G174" s="21" t="s">
        <v>87</v>
      </c>
      <c r="H174" s="23" t="n">
        <v>1000</v>
      </c>
      <c r="I174" s="24" t="n">
        <v>50000</v>
      </c>
      <c r="J174" s="18" t="n">
        <f aca="false">IF($H174="","",$H174*$I174)</f>
        <v>50000000</v>
      </c>
      <c r="K174" s="27"/>
      <c r="L174" s="21" t="s">
        <v>57</v>
      </c>
      <c r="M174" s="27"/>
      <c r="N174" s="21" t="s">
        <v>88</v>
      </c>
    </row>
    <row r="175" customFormat="false" ht="15" hidden="false" customHeight="false" outlineLevel="0" collapsed="false">
      <c r="A175" s="19" t="n">
        <f aca="false">IF($B175="","",ROW()-173)</f>
        <v>2</v>
      </c>
      <c r="B175" s="20" t="n">
        <v>46224</v>
      </c>
      <c r="C175" s="21" t="s">
        <v>89</v>
      </c>
      <c r="D175" s="21" t="s">
        <v>90</v>
      </c>
      <c r="E175" s="28"/>
      <c r="F175" s="22" t="s">
        <v>86</v>
      </c>
      <c r="G175" s="21" t="s">
        <v>91</v>
      </c>
      <c r="H175" s="23" t="n">
        <v>1000</v>
      </c>
      <c r="I175" s="24" t="n">
        <v>47000</v>
      </c>
      <c r="J175" s="18" t="n">
        <f aca="false">IF($H175="","",$H175*$I175)</f>
        <v>47000000</v>
      </c>
      <c r="K175" s="27"/>
      <c r="L175" s="21" t="s">
        <v>67</v>
      </c>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92</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93</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0</v>
      </c>
    </row>
    <row r="4" customFormat="false" ht="15" hidden="false" customHeight="true" outlineLevel="0" collapsed="false">
      <c r="B4" s="11" t="s">
        <v>31</v>
      </c>
      <c r="C4" s="11"/>
      <c r="D4" s="12" t="n">
        <f aca="false">SUMIF($L$10:$L$335,"Đã chuyển khoản",$J$10:$J$335)</f>
        <v>0</v>
      </c>
    </row>
    <row r="5" customFormat="false" ht="15" hidden="false" customHeight="true" outlineLevel="0" collapsed="false">
      <c r="B5" s="11" t="s">
        <v>32</v>
      </c>
      <c r="C5" s="11"/>
      <c r="D5" s="12" t="n">
        <f aca="false">SUMIF($L$10:$L$335,"Chưa chuyển khoản",$J$10:$J$335)</f>
        <v>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94</v>
      </c>
      <c r="B8" s="15"/>
      <c r="C8" s="15"/>
      <c r="D8" s="15"/>
      <c r="E8" s="15"/>
      <c r="F8" s="15"/>
      <c r="G8" s="15"/>
      <c r="H8" s="15"/>
      <c r="I8" s="15"/>
      <c r="J8" s="15"/>
      <c r="K8" s="16" t="n">
        <f aca="false">SUM($J$10:$J$89)</f>
        <v>0</v>
      </c>
      <c r="L8" s="16"/>
      <c r="M8" s="16"/>
      <c r="N8" s="16"/>
      <c r="P8" s="17" t="n">
        <v>46235</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46236</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46237</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46238</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46239</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46240</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46241</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46242</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46243</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46244</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46245</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46246</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46247</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46248</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46249</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46250</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46251</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46252</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46253</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46254</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46255</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46256</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46257</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46258</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46259</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46260</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46261</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46262</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46263</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46264</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17" t="n">
        <v>46265</v>
      </c>
      <c r="Q38" s="18" t="n">
        <f aca="false">SUMIF($B$10:$B$335,$P38,$J$10:$J$335)</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c r="P39" s="31" t="s">
        <v>60</v>
      </c>
      <c r="Q39" s="32" t="n">
        <f aca="false">SUM($Q$8:$Q$38)</f>
        <v>0</v>
      </c>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95</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96</v>
      </c>
      <c r="B172" s="15"/>
      <c r="C172" s="15"/>
      <c r="D172" s="15"/>
      <c r="E172" s="15"/>
      <c r="F172" s="15"/>
      <c r="G172" s="15"/>
      <c r="H172" s="15"/>
      <c r="I172" s="15"/>
      <c r="J172" s="15"/>
      <c r="K172" s="16" t="n">
        <f aca="false">SUM($J$174:$J$253)</f>
        <v>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str">
        <f aca="false">IF($B174="","",ROW()-173)</f>
        <v/>
      </c>
      <c r="B174" s="26"/>
      <c r="C174" s="27"/>
      <c r="D174" s="27"/>
      <c r="E174" s="28"/>
      <c r="F174" s="28"/>
      <c r="G174" s="27"/>
      <c r="H174" s="29"/>
      <c r="I174" s="30"/>
      <c r="J174" s="18" t="str">
        <f aca="false">IF($H174="","",$H174*$I174)</f>
        <v/>
      </c>
      <c r="K174" s="27"/>
      <c r="L174" s="27"/>
      <c r="M174" s="27"/>
      <c r="N174" s="27"/>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97</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98</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0</v>
      </c>
    </row>
    <row r="4" customFormat="false" ht="15" hidden="false" customHeight="true" outlineLevel="0" collapsed="false">
      <c r="B4" s="11" t="s">
        <v>31</v>
      </c>
      <c r="C4" s="11"/>
      <c r="D4" s="12" t="n">
        <f aca="false">SUMIF($L$10:$L$335,"Đã chuyển khoản",$J$10:$J$335)</f>
        <v>0</v>
      </c>
    </row>
    <row r="5" customFormat="false" ht="15" hidden="false" customHeight="true" outlineLevel="0" collapsed="false">
      <c r="B5" s="11" t="s">
        <v>32</v>
      </c>
      <c r="C5" s="11"/>
      <c r="D5" s="12" t="n">
        <f aca="false">SUMIF($L$10:$L$335,"Chưa chuyển khoản",$J$10:$J$335)</f>
        <v>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99</v>
      </c>
      <c r="B8" s="15"/>
      <c r="C8" s="15"/>
      <c r="D8" s="15"/>
      <c r="E8" s="15"/>
      <c r="F8" s="15"/>
      <c r="G8" s="15"/>
      <c r="H8" s="15"/>
      <c r="I8" s="15"/>
      <c r="J8" s="15"/>
      <c r="K8" s="16" t="n">
        <f aca="false">SUM($J$10:$J$89)</f>
        <v>0</v>
      </c>
      <c r="L8" s="16"/>
      <c r="M8" s="16"/>
      <c r="N8" s="16"/>
      <c r="P8" s="17" t="n">
        <v>46266</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46267</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46268</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46269</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46270</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46271</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46272</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46273</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46274</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46275</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46276</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46277</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46278</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46279</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46280</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46281</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46282</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46283</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46284</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46285</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46286</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46287</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46288</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46289</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46290</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46291</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46292</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46293</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46294</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46295</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31" t="s">
        <v>60</v>
      </c>
      <c r="Q38" s="32" t="n">
        <f aca="false">SUM($Q$8:$Q$37)</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100</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101</v>
      </c>
      <c r="B172" s="15"/>
      <c r="C172" s="15"/>
      <c r="D172" s="15"/>
      <c r="E172" s="15"/>
      <c r="F172" s="15"/>
      <c r="G172" s="15"/>
      <c r="H172" s="15"/>
      <c r="I172" s="15"/>
      <c r="J172" s="15"/>
      <c r="K172" s="16" t="n">
        <f aca="false">SUM($J$174:$J$253)</f>
        <v>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str">
        <f aca="false">IF($B174="","",ROW()-173)</f>
        <v/>
      </c>
      <c r="B174" s="26"/>
      <c r="C174" s="27"/>
      <c r="D174" s="27"/>
      <c r="E174" s="28"/>
      <c r="F174" s="28"/>
      <c r="G174" s="27"/>
      <c r="H174" s="29"/>
      <c r="I174" s="30"/>
      <c r="J174" s="18" t="str">
        <f aca="false">IF($H174="","",$H174*$I174)</f>
        <v/>
      </c>
      <c r="K174" s="27"/>
      <c r="L174" s="27"/>
      <c r="M174" s="27"/>
      <c r="N174" s="27"/>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102</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103</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0</v>
      </c>
    </row>
    <row r="4" customFormat="false" ht="15" hidden="false" customHeight="true" outlineLevel="0" collapsed="false">
      <c r="B4" s="11" t="s">
        <v>31</v>
      </c>
      <c r="C4" s="11"/>
      <c r="D4" s="12" t="n">
        <f aca="false">SUMIF($L$10:$L$335,"Đã chuyển khoản",$J$10:$J$335)</f>
        <v>0</v>
      </c>
    </row>
    <row r="5" customFormat="false" ht="15" hidden="false" customHeight="true" outlineLevel="0" collapsed="false">
      <c r="B5" s="11" t="s">
        <v>32</v>
      </c>
      <c r="C5" s="11"/>
      <c r="D5" s="12" t="n">
        <f aca="false">SUMIF($L$10:$L$335,"Chưa chuyển khoản",$J$10:$J$335)</f>
        <v>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104</v>
      </c>
      <c r="B8" s="15"/>
      <c r="C8" s="15"/>
      <c r="D8" s="15"/>
      <c r="E8" s="15"/>
      <c r="F8" s="15"/>
      <c r="G8" s="15"/>
      <c r="H8" s="15"/>
      <c r="I8" s="15"/>
      <c r="J8" s="15"/>
      <c r="K8" s="16" t="n">
        <f aca="false">SUM($J$10:$J$89)</f>
        <v>0</v>
      </c>
      <c r="L8" s="16"/>
      <c r="M8" s="16"/>
      <c r="N8" s="16"/>
      <c r="P8" s="17" t="n">
        <v>46296</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46297</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46298</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46299</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46300</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46301</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46302</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46303</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46304</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46305</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46306</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46307</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46308</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46309</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46310</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46311</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46312</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46313</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46314</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46315</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46316</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46317</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46318</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46319</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46320</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46321</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46322</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46323</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46324</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46325</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17" t="n">
        <v>46326</v>
      </c>
      <c r="Q38" s="18" t="n">
        <f aca="false">SUMIF($B$10:$B$335,$P38,$J$10:$J$335)</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c r="P39" s="31" t="s">
        <v>60</v>
      </c>
      <c r="Q39" s="32" t="n">
        <f aca="false">SUM($Q$8:$Q$38)</f>
        <v>0</v>
      </c>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105</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106</v>
      </c>
      <c r="B172" s="15"/>
      <c r="C172" s="15"/>
      <c r="D172" s="15"/>
      <c r="E172" s="15"/>
      <c r="F172" s="15"/>
      <c r="G172" s="15"/>
      <c r="H172" s="15"/>
      <c r="I172" s="15"/>
      <c r="J172" s="15"/>
      <c r="K172" s="16" t="n">
        <f aca="false">SUM($J$174:$J$253)</f>
        <v>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str">
        <f aca="false">IF($B174="","",ROW()-173)</f>
        <v/>
      </c>
      <c r="B174" s="26"/>
      <c r="C174" s="27"/>
      <c r="D174" s="27"/>
      <c r="E174" s="28"/>
      <c r="F174" s="28"/>
      <c r="G174" s="27"/>
      <c r="H174" s="29"/>
      <c r="I174" s="30"/>
      <c r="J174" s="18" t="str">
        <f aca="false">IF($H174="","",$H174*$I174)</f>
        <v/>
      </c>
      <c r="K174" s="27"/>
      <c r="L174" s="27"/>
      <c r="M174" s="27"/>
      <c r="N174" s="27"/>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107</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B0"/>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108</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0</v>
      </c>
    </row>
    <row r="4" customFormat="false" ht="15" hidden="false" customHeight="true" outlineLevel="0" collapsed="false">
      <c r="B4" s="11" t="s">
        <v>31</v>
      </c>
      <c r="C4" s="11"/>
      <c r="D4" s="12" t="n">
        <f aca="false">SUMIF($L$10:$L$335,"Đã chuyển khoản",$J$10:$J$335)</f>
        <v>0</v>
      </c>
    </row>
    <row r="5" customFormat="false" ht="15" hidden="false" customHeight="true" outlineLevel="0" collapsed="false">
      <c r="B5" s="11" t="s">
        <v>32</v>
      </c>
      <c r="C5" s="11"/>
      <c r="D5" s="12" t="n">
        <f aca="false">SUMIF($L$10:$L$335,"Chưa chuyển khoản",$J$10:$J$335)</f>
        <v>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109</v>
      </c>
      <c r="B8" s="15"/>
      <c r="C8" s="15"/>
      <c r="D8" s="15"/>
      <c r="E8" s="15"/>
      <c r="F8" s="15"/>
      <c r="G8" s="15"/>
      <c r="H8" s="15"/>
      <c r="I8" s="15"/>
      <c r="J8" s="15"/>
      <c r="K8" s="16" t="n">
        <f aca="false">SUM($J$10:$J$89)</f>
        <v>0</v>
      </c>
      <c r="L8" s="16"/>
      <c r="M8" s="16"/>
      <c r="N8" s="16"/>
      <c r="P8" s="17" t="n">
        <v>46327</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46328</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46329</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46330</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46331</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46332</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46333</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46334</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46335</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46336</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46337</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46338</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46339</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46340</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46341</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46342</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46343</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46344</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46345</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46346</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46347</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46348</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46349</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46350</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46351</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46352</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46353</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46354</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46355</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46356</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31" t="s">
        <v>60</v>
      </c>
      <c r="Q38" s="32" t="n">
        <f aca="false">SUM($Q$8:$Q$37)</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110</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111</v>
      </c>
      <c r="B172" s="15"/>
      <c r="C172" s="15"/>
      <c r="D172" s="15"/>
      <c r="E172" s="15"/>
      <c r="F172" s="15"/>
      <c r="G172" s="15"/>
      <c r="H172" s="15"/>
      <c r="I172" s="15"/>
      <c r="J172" s="15"/>
      <c r="K172" s="16" t="n">
        <f aca="false">SUM($J$174:$J$253)</f>
        <v>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str">
        <f aca="false">IF($B174="","",ROW()-173)</f>
        <v/>
      </c>
      <c r="B174" s="26"/>
      <c r="C174" s="27"/>
      <c r="D174" s="27"/>
      <c r="E174" s="28"/>
      <c r="F174" s="28"/>
      <c r="G174" s="27"/>
      <c r="H174" s="29"/>
      <c r="I174" s="30"/>
      <c r="J174" s="18" t="str">
        <f aca="false">IF($H174="","",$H174*$I174)</f>
        <v/>
      </c>
      <c r="K174" s="27"/>
      <c r="L174" s="27"/>
      <c r="M174" s="27"/>
      <c r="N174" s="27"/>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112</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4" width="5"/>
    <col collapsed="false" customWidth="true" hidden="false" outlineLevel="0" max="2" min="2" style="5" width="12"/>
    <col collapsed="false" customWidth="true" hidden="false" outlineLevel="0" max="3" min="3" style="6" width="20"/>
    <col collapsed="false" customWidth="true" hidden="false" outlineLevel="0" max="4" min="4" style="6" width="26"/>
    <col collapsed="false" customWidth="true" hidden="false" outlineLevel="0" max="6" min="5" style="7" width="14"/>
    <col collapsed="false" customWidth="true" hidden="false" outlineLevel="0" max="7" min="7" style="6" width="24"/>
    <col collapsed="false" customWidth="true" hidden="false" outlineLevel="0" max="8" min="8" style="8" width="10"/>
    <col collapsed="false" customWidth="true" hidden="false" outlineLevel="0" max="9" min="9" style="9" width="12"/>
    <col collapsed="false" customWidth="true" hidden="false" outlineLevel="0" max="10" min="10" style="9" width="14"/>
    <col collapsed="false" customWidth="true" hidden="false" outlineLevel="0" max="11" min="11" style="4" width="18"/>
    <col collapsed="false" customWidth="true" hidden="false" outlineLevel="0" max="12" min="12" style="4" width="20"/>
    <col collapsed="false" customWidth="true" hidden="false" outlineLevel="0" max="13" min="13" style="3" width="26"/>
    <col collapsed="false" customWidth="true" hidden="false" outlineLevel="0" max="14" min="14" style="6" width="18"/>
    <col collapsed="false" customWidth="true" hidden="false" outlineLevel="0" max="15" min="15" style="0" width="3"/>
    <col collapsed="false" customWidth="true" hidden="false" outlineLevel="0" max="16" min="16" style="0" width="12"/>
    <col collapsed="false" customWidth="true" hidden="false" outlineLevel="0" max="17" min="17" style="0" width="16"/>
  </cols>
  <sheetData>
    <row r="1" customFormat="false" ht="25.5" hidden="false" customHeight="true" outlineLevel="0" collapsed="false">
      <c r="A1" s="10" t="s">
        <v>113</v>
      </c>
      <c r="B1" s="10"/>
      <c r="C1" s="10"/>
      <c r="D1" s="10"/>
      <c r="E1" s="10"/>
      <c r="F1" s="10"/>
      <c r="G1" s="10"/>
      <c r="H1" s="10"/>
      <c r="I1" s="10"/>
      <c r="J1" s="10"/>
      <c r="K1" s="10"/>
      <c r="L1" s="10"/>
      <c r="M1" s="10"/>
      <c r="N1" s="10"/>
    </row>
    <row r="3" customFormat="false" ht="15" hidden="false" customHeight="true" outlineLevel="0" collapsed="false">
      <c r="B3" s="11" t="s">
        <v>30</v>
      </c>
      <c r="C3" s="11"/>
      <c r="D3" s="12" t="n">
        <f aca="false">SUM($J$10:$J$335)</f>
        <v>0</v>
      </c>
    </row>
    <row r="4" customFormat="false" ht="15" hidden="false" customHeight="true" outlineLevel="0" collapsed="false">
      <c r="B4" s="11" t="s">
        <v>31</v>
      </c>
      <c r="C4" s="11"/>
      <c r="D4" s="12" t="n">
        <f aca="false">SUMIF($L$10:$L$335,"Đã chuyển khoản",$J$10:$J$335)</f>
        <v>0</v>
      </c>
    </row>
    <row r="5" customFormat="false" ht="15" hidden="false" customHeight="true" outlineLevel="0" collapsed="false">
      <c r="B5" s="11" t="s">
        <v>32</v>
      </c>
      <c r="C5" s="11"/>
      <c r="D5" s="12" t="n">
        <f aca="false">SUMIF($L$10:$L$335,"Chưa chuyển khoản",$J$10:$J$335)</f>
        <v>0</v>
      </c>
    </row>
    <row r="6" customFormat="false" ht="15" hidden="false" customHeight="true" outlineLevel="0" collapsed="false">
      <c r="P6" s="13" t="s">
        <v>33</v>
      </c>
      <c r="Q6" s="13"/>
    </row>
    <row r="7" customFormat="false" ht="15" hidden="false" customHeight="false" outlineLevel="0" collapsed="false">
      <c r="P7" s="14" t="s">
        <v>34</v>
      </c>
      <c r="Q7" s="14" t="s">
        <v>35</v>
      </c>
    </row>
    <row r="8" customFormat="false" ht="21.75" hidden="false" customHeight="true" outlineLevel="0" collapsed="false">
      <c r="A8" s="15" t="s">
        <v>114</v>
      </c>
      <c r="B8" s="15"/>
      <c r="C8" s="15"/>
      <c r="D8" s="15"/>
      <c r="E8" s="15"/>
      <c r="F8" s="15"/>
      <c r="G8" s="15"/>
      <c r="H8" s="15"/>
      <c r="I8" s="15"/>
      <c r="J8" s="15"/>
      <c r="K8" s="16" t="n">
        <f aca="false">SUM($J$10:$J$89)</f>
        <v>0</v>
      </c>
      <c r="L8" s="16"/>
      <c r="M8" s="16"/>
      <c r="N8" s="16"/>
      <c r="P8" s="17" t="n">
        <v>46357</v>
      </c>
      <c r="Q8" s="18" t="n">
        <f aca="false">SUMIF($B$10:$B$335,$P8,$J$10:$J$335)</f>
        <v>0</v>
      </c>
    </row>
    <row r="9" customFormat="false" ht="27.75" hidden="false" customHeight="true" outlineLevel="0" collapsed="false">
      <c r="A9" s="14" t="s">
        <v>37</v>
      </c>
      <c r="B9" s="14" t="s">
        <v>38</v>
      </c>
      <c r="C9" s="14" t="s">
        <v>39</v>
      </c>
      <c r="D9" s="14" t="s">
        <v>40</v>
      </c>
      <c r="E9" s="14" t="s">
        <v>41</v>
      </c>
      <c r="F9" s="14" t="s">
        <v>42</v>
      </c>
      <c r="G9" s="14" t="s">
        <v>43</v>
      </c>
      <c r="H9" s="14" t="s">
        <v>44</v>
      </c>
      <c r="I9" s="14" t="s">
        <v>45</v>
      </c>
      <c r="J9" s="14" t="s">
        <v>46</v>
      </c>
      <c r="K9" s="14" t="s">
        <v>47</v>
      </c>
      <c r="L9" s="14" t="s">
        <v>48</v>
      </c>
      <c r="M9" s="14" t="s">
        <v>49</v>
      </c>
      <c r="N9" s="14" t="s">
        <v>50</v>
      </c>
      <c r="P9" s="17" t="n">
        <v>46358</v>
      </c>
      <c r="Q9" s="18" t="n">
        <f aca="false">SUMIF($B$10:$B$335,$P9,$J$10:$J$335)</f>
        <v>0</v>
      </c>
    </row>
    <row r="10" customFormat="false" ht="15" hidden="false" customHeight="false" outlineLevel="0" collapsed="false">
      <c r="A10" s="19" t="str">
        <f aca="false">IF($B10="","",ROW()-9)</f>
        <v/>
      </c>
      <c r="B10" s="26"/>
      <c r="C10" s="27"/>
      <c r="D10" s="27"/>
      <c r="E10" s="28"/>
      <c r="F10" s="28"/>
      <c r="G10" s="27"/>
      <c r="H10" s="29"/>
      <c r="I10" s="30"/>
      <c r="J10" s="18" t="str">
        <f aca="false">IF($H10="","",$H10*$I10)</f>
        <v/>
      </c>
      <c r="K10" s="27"/>
      <c r="L10" s="27"/>
      <c r="M10" s="27"/>
      <c r="N10" s="27"/>
      <c r="P10" s="17" t="n">
        <v>46359</v>
      </c>
      <c r="Q10" s="18" t="n">
        <f aca="false">SUMIF($B$10:$B$335,$P10,$J$10:$J$335)</f>
        <v>0</v>
      </c>
    </row>
    <row r="11" customFormat="false" ht="15" hidden="false" customHeight="false" outlineLevel="0" collapsed="false">
      <c r="A11" s="19" t="str">
        <f aca="false">IF($B11="","",ROW()-9)</f>
        <v/>
      </c>
      <c r="B11" s="26"/>
      <c r="C11" s="27"/>
      <c r="D11" s="27"/>
      <c r="E11" s="28"/>
      <c r="F11" s="28"/>
      <c r="G11" s="27"/>
      <c r="H11" s="29"/>
      <c r="I11" s="30"/>
      <c r="J11" s="18" t="str">
        <f aca="false">IF($H11="","",$H11*$I11)</f>
        <v/>
      </c>
      <c r="K11" s="27"/>
      <c r="L11" s="27"/>
      <c r="M11" s="27"/>
      <c r="N11" s="27"/>
      <c r="P11" s="17" t="n">
        <v>46360</v>
      </c>
      <c r="Q11" s="18" t="n">
        <f aca="false">SUMIF($B$10:$B$335,$P11,$J$10:$J$335)</f>
        <v>0</v>
      </c>
    </row>
    <row r="12" customFormat="false" ht="15" hidden="false" customHeight="false" outlineLevel="0" collapsed="false">
      <c r="A12" s="19" t="str">
        <f aca="false">IF($B12="","",ROW()-9)</f>
        <v/>
      </c>
      <c r="B12" s="26"/>
      <c r="C12" s="27"/>
      <c r="D12" s="27"/>
      <c r="E12" s="28"/>
      <c r="F12" s="28"/>
      <c r="G12" s="27"/>
      <c r="H12" s="29"/>
      <c r="I12" s="30"/>
      <c r="J12" s="18" t="str">
        <f aca="false">IF($H12="","",$H12*$I12)</f>
        <v/>
      </c>
      <c r="K12" s="27"/>
      <c r="L12" s="27"/>
      <c r="M12" s="27"/>
      <c r="N12" s="27"/>
      <c r="P12" s="17" t="n">
        <v>46361</v>
      </c>
      <c r="Q12" s="18" t="n">
        <f aca="false">SUMIF($B$10:$B$335,$P12,$J$10:$J$335)</f>
        <v>0</v>
      </c>
    </row>
    <row r="13" customFormat="false" ht="15" hidden="false" customHeight="false" outlineLevel="0" collapsed="false">
      <c r="A13" s="19" t="str">
        <f aca="false">IF($B13="","",ROW()-9)</f>
        <v/>
      </c>
      <c r="B13" s="26"/>
      <c r="C13" s="27"/>
      <c r="D13" s="27"/>
      <c r="E13" s="28"/>
      <c r="F13" s="28"/>
      <c r="G13" s="27"/>
      <c r="H13" s="29"/>
      <c r="I13" s="30"/>
      <c r="J13" s="18" t="str">
        <f aca="false">IF($H13="","",$H13*$I13)</f>
        <v/>
      </c>
      <c r="K13" s="27"/>
      <c r="L13" s="27"/>
      <c r="M13" s="27"/>
      <c r="N13" s="27"/>
      <c r="P13" s="17" t="n">
        <v>46362</v>
      </c>
      <c r="Q13" s="18" t="n">
        <f aca="false">SUMIF($B$10:$B$335,$P13,$J$10:$J$335)</f>
        <v>0</v>
      </c>
    </row>
    <row r="14" customFormat="false" ht="15" hidden="false" customHeight="false" outlineLevel="0" collapsed="false">
      <c r="A14" s="19" t="str">
        <f aca="false">IF($B14="","",ROW()-9)</f>
        <v/>
      </c>
      <c r="B14" s="26"/>
      <c r="C14" s="27"/>
      <c r="D14" s="27"/>
      <c r="E14" s="28"/>
      <c r="F14" s="28"/>
      <c r="G14" s="27"/>
      <c r="H14" s="29"/>
      <c r="I14" s="30"/>
      <c r="J14" s="18" t="str">
        <f aca="false">IF($H14="","",$H14*$I14)</f>
        <v/>
      </c>
      <c r="K14" s="27"/>
      <c r="L14" s="27"/>
      <c r="M14" s="27"/>
      <c r="N14" s="27"/>
      <c r="P14" s="17" t="n">
        <v>46363</v>
      </c>
      <c r="Q14" s="18" t="n">
        <f aca="false">SUMIF($B$10:$B$335,$P14,$J$10:$J$335)</f>
        <v>0</v>
      </c>
    </row>
    <row r="15" customFormat="false" ht="15" hidden="false" customHeight="false" outlineLevel="0" collapsed="false">
      <c r="A15" s="19" t="str">
        <f aca="false">IF($B15="","",ROW()-9)</f>
        <v/>
      </c>
      <c r="B15" s="26"/>
      <c r="C15" s="27"/>
      <c r="D15" s="27"/>
      <c r="E15" s="28"/>
      <c r="F15" s="28"/>
      <c r="G15" s="27"/>
      <c r="H15" s="29"/>
      <c r="I15" s="30"/>
      <c r="J15" s="18" t="str">
        <f aca="false">IF($H15="","",$H15*$I15)</f>
        <v/>
      </c>
      <c r="K15" s="27"/>
      <c r="L15" s="27"/>
      <c r="M15" s="27"/>
      <c r="N15" s="27"/>
      <c r="P15" s="17" t="n">
        <v>46364</v>
      </c>
      <c r="Q15" s="18" t="n">
        <f aca="false">SUMIF($B$10:$B$335,$P15,$J$10:$J$335)</f>
        <v>0</v>
      </c>
    </row>
    <row r="16" customFormat="false" ht="15" hidden="false" customHeight="false" outlineLevel="0" collapsed="false">
      <c r="A16" s="19" t="str">
        <f aca="false">IF($B16="","",ROW()-9)</f>
        <v/>
      </c>
      <c r="B16" s="26"/>
      <c r="C16" s="27"/>
      <c r="D16" s="27"/>
      <c r="E16" s="28"/>
      <c r="F16" s="28"/>
      <c r="G16" s="27"/>
      <c r="H16" s="29"/>
      <c r="I16" s="30"/>
      <c r="J16" s="18" t="str">
        <f aca="false">IF($H16="","",$H16*$I16)</f>
        <v/>
      </c>
      <c r="K16" s="27"/>
      <c r="L16" s="27"/>
      <c r="M16" s="27"/>
      <c r="N16" s="27"/>
      <c r="P16" s="17" t="n">
        <v>46365</v>
      </c>
      <c r="Q16" s="18" t="n">
        <f aca="false">SUMIF($B$10:$B$335,$P16,$J$10:$J$335)</f>
        <v>0</v>
      </c>
    </row>
    <row r="17" customFormat="false" ht="15" hidden="false" customHeight="false" outlineLevel="0" collapsed="false">
      <c r="A17" s="19" t="str">
        <f aca="false">IF($B17="","",ROW()-9)</f>
        <v/>
      </c>
      <c r="B17" s="26"/>
      <c r="C17" s="27"/>
      <c r="D17" s="27"/>
      <c r="E17" s="28"/>
      <c r="F17" s="28"/>
      <c r="G17" s="27"/>
      <c r="H17" s="29"/>
      <c r="I17" s="30"/>
      <c r="J17" s="18" t="str">
        <f aca="false">IF($H17="","",$H17*$I17)</f>
        <v/>
      </c>
      <c r="K17" s="27"/>
      <c r="L17" s="27"/>
      <c r="M17" s="27"/>
      <c r="N17" s="27"/>
      <c r="P17" s="17" t="n">
        <v>46366</v>
      </c>
      <c r="Q17" s="18" t="n">
        <f aca="false">SUMIF($B$10:$B$335,$P17,$J$10:$J$335)</f>
        <v>0</v>
      </c>
    </row>
    <row r="18" customFormat="false" ht="15" hidden="false" customHeight="false" outlineLevel="0" collapsed="false">
      <c r="A18" s="19" t="str">
        <f aca="false">IF($B18="","",ROW()-9)</f>
        <v/>
      </c>
      <c r="B18" s="26"/>
      <c r="C18" s="27"/>
      <c r="D18" s="27"/>
      <c r="E18" s="28"/>
      <c r="F18" s="28"/>
      <c r="G18" s="27"/>
      <c r="H18" s="29"/>
      <c r="I18" s="30"/>
      <c r="J18" s="18" t="str">
        <f aca="false">IF($H18="","",$H18*$I18)</f>
        <v/>
      </c>
      <c r="K18" s="27"/>
      <c r="L18" s="27"/>
      <c r="M18" s="27"/>
      <c r="N18" s="27"/>
      <c r="P18" s="17" t="n">
        <v>46367</v>
      </c>
      <c r="Q18" s="18" t="n">
        <f aca="false">SUMIF($B$10:$B$335,$P18,$J$10:$J$335)</f>
        <v>0</v>
      </c>
    </row>
    <row r="19" customFormat="false" ht="15" hidden="false" customHeight="false" outlineLevel="0" collapsed="false">
      <c r="A19" s="19" t="str">
        <f aca="false">IF($B19="","",ROW()-9)</f>
        <v/>
      </c>
      <c r="B19" s="26"/>
      <c r="C19" s="27"/>
      <c r="D19" s="27"/>
      <c r="E19" s="28"/>
      <c r="F19" s="28"/>
      <c r="G19" s="27"/>
      <c r="H19" s="29"/>
      <c r="I19" s="30"/>
      <c r="J19" s="18" t="str">
        <f aca="false">IF($H19="","",$H19*$I19)</f>
        <v/>
      </c>
      <c r="K19" s="27"/>
      <c r="L19" s="27"/>
      <c r="M19" s="27"/>
      <c r="N19" s="27"/>
      <c r="P19" s="17" t="n">
        <v>46368</v>
      </c>
      <c r="Q19" s="18" t="n">
        <f aca="false">SUMIF($B$10:$B$335,$P19,$J$10:$J$335)</f>
        <v>0</v>
      </c>
    </row>
    <row r="20" customFormat="false" ht="15" hidden="false" customHeight="false" outlineLevel="0" collapsed="false">
      <c r="A20" s="19" t="str">
        <f aca="false">IF($B20="","",ROW()-9)</f>
        <v/>
      </c>
      <c r="B20" s="26"/>
      <c r="C20" s="27"/>
      <c r="D20" s="27"/>
      <c r="E20" s="28"/>
      <c r="F20" s="28"/>
      <c r="G20" s="27"/>
      <c r="H20" s="29"/>
      <c r="I20" s="30"/>
      <c r="J20" s="18" t="str">
        <f aca="false">IF($H20="","",$H20*$I20)</f>
        <v/>
      </c>
      <c r="K20" s="27"/>
      <c r="L20" s="27"/>
      <c r="M20" s="27"/>
      <c r="N20" s="27"/>
      <c r="P20" s="17" t="n">
        <v>46369</v>
      </c>
      <c r="Q20" s="18" t="n">
        <f aca="false">SUMIF($B$10:$B$335,$P20,$J$10:$J$335)</f>
        <v>0</v>
      </c>
    </row>
    <row r="21" customFormat="false" ht="15" hidden="false" customHeight="false" outlineLevel="0" collapsed="false">
      <c r="A21" s="19" t="str">
        <f aca="false">IF($B21="","",ROW()-9)</f>
        <v/>
      </c>
      <c r="B21" s="26"/>
      <c r="C21" s="27"/>
      <c r="D21" s="27"/>
      <c r="E21" s="28"/>
      <c r="F21" s="28"/>
      <c r="G21" s="27"/>
      <c r="H21" s="29"/>
      <c r="I21" s="30"/>
      <c r="J21" s="18" t="str">
        <f aca="false">IF($H21="","",$H21*$I21)</f>
        <v/>
      </c>
      <c r="K21" s="27"/>
      <c r="L21" s="27"/>
      <c r="M21" s="27"/>
      <c r="N21" s="27"/>
      <c r="P21" s="17" t="n">
        <v>46370</v>
      </c>
      <c r="Q21" s="18" t="n">
        <f aca="false">SUMIF($B$10:$B$335,$P21,$J$10:$J$335)</f>
        <v>0</v>
      </c>
    </row>
    <row r="22" customFormat="false" ht="15" hidden="false" customHeight="false" outlineLevel="0" collapsed="false">
      <c r="A22" s="19" t="str">
        <f aca="false">IF($B22="","",ROW()-9)</f>
        <v/>
      </c>
      <c r="B22" s="26"/>
      <c r="C22" s="27"/>
      <c r="D22" s="27"/>
      <c r="E22" s="28"/>
      <c r="F22" s="28"/>
      <c r="G22" s="27"/>
      <c r="H22" s="29"/>
      <c r="I22" s="30"/>
      <c r="J22" s="18" t="str">
        <f aca="false">IF($H22="","",$H22*$I22)</f>
        <v/>
      </c>
      <c r="K22" s="27"/>
      <c r="L22" s="27"/>
      <c r="M22" s="27"/>
      <c r="N22" s="27"/>
      <c r="P22" s="17" t="n">
        <v>46371</v>
      </c>
      <c r="Q22" s="18" t="n">
        <f aca="false">SUMIF($B$10:$B$335,$P22,$J$10:$J$335)</f>
        <v>0</v>
      </c>
    </row>
    <row r="23" customFormat="false" ht="15" hidden="false" customHeight="false" outlineLevel="0" collapsed="false">
      <c r="A23" s="19" t="str">
        <f aca="false">IF($B23="","",ROW()-9)</f>
        <v/>
      </c>
      <c r="B23" s="26"/>
      <c r="C23" s="27"/>
      <c r="D23" s="27"/>
      <c r="E23" s="28"/>
      <c r="F23" s="28"/>
      <c r="G23" s="27"/>
      <c r="H23" s="29"/>
      <c r="I23" s="30"/>
      <c r="J23" s="18" t="str">
        <f aca="false">IF($H23="","",$H23*$I23)</f>
        <v/>
      </c>
      <c r="K23" s="27"/>
      <c r="L23" s="27"/>
      <c r="M23" s="27"/>
      <c r="N23" s="27"/>
      <c r="P23" s="17" t="n">
        <v>46372</v>
      </c>
      <c r="Q23" s="18" t="n">
        <f aca="false">SUMIF($B$10:$B$335,$P23,$J$10:$J$335)</f>
        <v>0</v>
      </c>
    </row>
    <row r="24" customFormat="false" ht="15" hidden="false" customHeight="false" outlineLevel="0" collapsed="false">
      <c r="A24" s="19" t="str">
        <f aca="false">IF($B24="","",ROW()-9)</f>
        <v/>
      </c>
      <c r="B24" s="26"/>
      <c r="C24" s="27"/>
      <c r="D24" s="27"/>
      <c r="E24" s="28"/>
      <c r="F24" s="28"/>
      <c r="G24" s="27"/>
      <c r="H24" s="29"/>
      <c r="I24" s="30"/>
      <c r="J24" s="18" t="str">
        <f aca="false">IF($H24="","",$H24*$I24)</f>
        <v/>
      </c>
      <c r="K24" s="27"/>
      <c r="L24" s="27"/>
      <c r="M24" s="27"/>
      <c r="N24" s="27"/>
      <c r="P24" s="17" t="n">
        <v>46373</v>
      </c>
      <c r="Q24" s="18" t="n">
        <f aca="false">SUMIF($B$10:$B$335,$P24,$J$10:$J$335)</f>
        <v>0</v>
      </c>
    </row>
    <row r="25" customFormat="false" ht="15" hidden="false" customHeight="false" outlineLevel="0" collapsed="false">
      <c r="A25" s="19" t="str">
        <f aca="false">IF($B25="","",ROW()-9)</f>
        <v/>
      </c>
      <c r="B25" s="26"/>
      <c r="C25" s="27"/>
      <c r="D25" s="27"/>
      <c r="E25" s="28"/>
      <c r="F25" s="28"/>
      <c r="G25" s="27"/>
      <c r="H25" s="29"/>
      <c r="I25" s="30"/>
      <c r="J25" s="18" t="str">
        <f aca="false">IF($H25="","",$H25*$I25)</f>
        <v/>
      </c>
      <c r="K25" s="27"/>
      <c r="L25" s="27"/>
      <c r="M25" s="27"/>
      <c r="N25" s="27"/>
      <c r="P25" s="17" t="n">
        <v>46374</v>
      </c>
      <c r="Q25" s="18" t="n">
        <f aca="false">SUMIF($B$10:$B$335,$P25,$J$10:$J$335)</f>
        <v>0</v>
      </c>
    </row>
    <row r="26" customFormat="false" ht="15" hidden="false" customHeight="false" outlineLevel="0" collapsed="false">
      <c r="A26" s="19" t="str">
        <f aca="false">IF($B26="","",ROW()-9)</f>
        <v/>
      </c>
      <c r="B26" s="26"/>
      <c r="C26" s="27"/>
      <c r="D26" s="27"/>
      <c r="E26" s="28"/>
      <c r="F26" s="28"/>
      <c r="G26" s="27"/>
      <c r="H26" s="29"/>
      <c r="I26" s="30"/>
      <c r="J26" s="18" t="str">
        <f aca="false">IF($H26="","",$H26*$I26)</f>
        <v/>
      </c>
      <c r="K26" s="27"/>
      <c r="L26" s="27"/>
      <c r="M26" s="27"/>
      <c r="N26" s="27"/>
      <c r="P26" s="17" t="n">
        <v>46375</v>
      </c>
      <c r="Q26" s="18" t="n">
        <f aca="false">SUMIF($B$10:$B$335,$P26,$J$10:$J$335)</f>
        <v>0</v>
      </c>
    </row>
    <row r="27" customFormat="false" ht="15" hidden="false" customHeight="false" outlineLevel="0" collapsed="false">
      <c r="A27" s="19" t="str">
        <f aca="false">IF($B27="","",ROW()-9)</f>
        <v/>
      </c>
      <c r="B27" s="26"/>
      <c r="C27" s="27"/>
      <c r="D27" s="27"/>
      <c r="E27" s="28"/>
      <c r="F27" s="28"/>
      <c r="G27" s="27"/>
      <c r="H27" s="29"/>
      <c r="I27" s="30"/>
      <c r="J27" s="18" t="str">
        <f aca="false">IF($H27="","",$H27*$I27)</f>
        <v/>
      </c>
      <c r="K27" s="27"/>
      <c r="L27" s="27"/>
      <c r="M27" s="27"/>
      <c r="N27" s="27"/>
      <c r="P27" s="17" t="n">
        <v>46376</v>
      </c>
      <c r="Q27" s="18" t="n">
        <f aca="false">SUMIF($B$10:$B$335,$P27,$J$10:$J$335)</f>
        <v>0</v>
      </c>
    </row>
    <row r="28" customFormat="false" ht="15" hidden="false" customHeight="false" outlineLevel="0" collapsed="false">
      <c r="A28" s="19" t="str">
        <f aca="false">IF($B28="","",ROW()-9)</f>
        <v/>
      </c>
      <c r="B28" s="26"/>
      <c r="C28" s="27"/>
      <c r="D28" s="27"/>
      <c r="E28" s="28"/>
      <c r="F28" s="28"/>
      <c r="G28" s="27"/>
      <c r="H28" s="29"/>
      <c r="I28" s="30"/>
      <c r="J28" s="18" t="str">
        <f aca="false">IF($H28="","",$H28*$I28)</f>
        <v/>
      </c>
      <c r="K28" s="27"/>
      <c r="L28" s="27"/>
      <c r="M28" s="27"/>
      <c r="N28" s="27"/>
      <c r="P28" s="17" t="n">
        <v>46377</v>
      </c>
      <c r="Q28" s="18" t="n">
        <f aca="false">SUMIF($B$10:$B$335,$P28,$J$10:$J$335)</f>
        <v>0</v>
      </c>
    </row>
    <row r="29" customFormat="false" ht="15" hidden="false" customHeight="false" outlineLevel="0" collapsed="false">
      <c r="A29" s="19" t="str">
        <f aca="false">IF($B29="","",ROW()-9)</f>
        <v/>
      </c>
      <c r="B29" s="26"/>
      <c r="C29" s="27"/>
      <c r="D29" s="27"/>
      <c r="E29" s="28"/>
      <c r="F29" s="28"/>
      <c r="G29" s="27"/>
      <c r="H29" s="29"/>
      <c r="I29" s="30"/>
      <c r="J29" s="18" t="str">
        <f aca="false">IF($H29="","",$H29*$I29)</f>
        <v/>
      </c>
      <c r="K29" s="27"/>
      <c r="L29" s="27"/>
      <c r="M29" s="27"/>
      <c r="N29" s="27"/>
      <c r="P29" s="17" t="n">
        <v>46378</v>
      </c>
      <c r="Q29" s="18" t="n">
        <f aca="false">SUMIF($B$10:$B$335,$P29,$J$10:$J$335)</f>
        <v>0</v>
      </c>
    </row>
    <row r="30" customFormat="false" ht="15" hidden="false" customHeight="false" outlineLevel="0" collapsed="false">
      <c r="A30" s="19" t="str">
        <f aca="false">IF($B30="","",ROW()-9)</f>
        <v/>
      </c>
      <c r="B30" s="26"/>
      <c r="C30" s="27"/>
      <c r="D30" s="27"/>
      <c r="E30" s="28"/>
      <c r="F30" s="28"/>
      <c r="G30" s="27"/>
      <c r="H30" s="29"/>
      <c r="I30" s="30"/>
      <c r="J30" s="18" t="str">
        <f aca="false">IF($H30="","",$H30*$I30)</f>
        <v/>
      </c>
      <c r="K30" s="27"/>
      <c r="L30" s="27"/>
      <c r="M30" s="27"/>
      <c r="N30" s="27"/>
      <c r="P30" s="17" t="n">
        <v>46379</v>
      </c>
      <c r="Q30" s="18" t="n">
        <f aca="false">SUMIF($B$10:$B$335,$P30,$J$10:$J$335)</f>
        <v>0</v>
      </c>
    </row>
    <row r="31" customFormat="false" ht="15" hidden="false" customHeight="false" outlineLevel="0" collapsed="false">
      <c r="A31" s="19" t="str">
        <f aca="false">IF($B31="","",ROW()-9)</f>
        <v/>
      </c>
      <c r="B31" s="26"/>
      <c r="C31" s="27"/>
      <c r="D31" s="27"/>
      <c r="E31" s="28"/>
      <c r="F31" s="28"/>
      <c r="G31" s="27"/>
      <c r="H31" s="29"/>
      <c r="I31" s="30"/>
      <c r="J31" s="18" t="str">
        <f aca="false">IF($H31="","",$H31*$I31)</f>
        <v/>
      </c>
      <c r="K31" s="27"/>
      <c r="L31" s="27"/>
      <c r="M31" s="27"/>
      <c r="N31" s="27"/>
      <c r="P31" s="17" t="n">
        <v>46380</v>
      </c>
      <c r="Q31" s="18" t="n">
        <f aca="false">SUMIF($B$10:$B$335,$P31,$J$10:$J$335)</f>
        <v>0</v>
      </c>
    </row>
    <row r="32" customFormat="false" ht="15" hidden="false" customHeight="false" outlineLevel="0" collapsed="false">
      <c r="A32" s="19" t="str">
        <f aca="false">IF($B32="","",ROW()-9)</f>
        <v/>
      </c>
      <c r="B32" s="26"/>
      <c r="C32" s="27"/>
      <c r="D32" s="27"/>
      <c r="E32" s="28"/>
      <c r="F32" s="28"/>
      <c r="G32" s="27"/>
      <c r="H32" s="29"/>
      <c r="I32" s="30"/>
      <c r="J32" s="18" t="str">
        <f aca="false">IF($H32="","",$H32*$I32)</f>
        <v/>
      </c>
      <c r="K32" s="27"/>
      <c r="L32" s="27"/>
      <c r="M32" s="27"/>
      <c r="N32" s="27"/>
      <c r="P32" s="17" t="n">
        <v>46381</v>
      </c>
      <c r="Q32" s="18" t="n">
        <f aca="false">SUMIF($B$10:$B$335,$P32,$J$10:$J$335)</f>
        <v>0</v>
      </c>
    </row>
    <row r="33" customFormat="false" ht="15" hidden="false" customHeight="false" outlineLevel="0" collapsed="false">
      <c r="A33" s="19" t="str">
        <f aca="false">IF($B33="","",ROW()-9)</f>
        <v/>
      </c>
      <c r="B33" s="26"/>
      <c r="C33" s="27"/>
      <c r="D33" s="27"/>
      <c r="E33" s="28"/>
      <c r="F33" s="28"/>
      <c r="G33" s="27"/>
      <c r="H33" s="29"/>
      <c r="I33" s="30"/>
      <c r="J33" s="18" t="str">
        <f aca="false">IF($H33="","",$H33*$I33)</f>
        <v/>
      </c>
      <c r="K33" s="27"/>
      <c r="L33" s="27"/>
      <c r="M33" s="27"/>
      <c r="N33" s="27"/>
      <c r="P33" s="17" t="n">
        <v>46382</v>
      </c>
      <c r="Q33" s="18" t="n">
        <f aca="false">SUMIF($B$10:$B$335,$P33,$J$10:$J$335)</f>
        <v>0</v>
      </c>
    </row>
    <row r="34" customFormat="false" ht="15" hidden="false" customHeight="false" outlineLevel="0" collapsed="false">
      <c r="A34" s="19" t="str">
        <f aca="false">IF($B34="","",ROW()-9)</f>
        <v/>
      </c>
      <c r="B34" s="26"/>
      <c r="C34" s="27"/>
      <c r="D34" s="27"/>
      <c r="E34" s="28"/>
      <c r="F34" s="28"/>
      <c r="G34" s="27"/>
      <c r="H34" s="29"/>
      <c r="I34" s="30"/>
      <c r="J34" s="18" t="str">
        <f aca="false">IF($H34="","",$H34*$I34)</f>
        <v/>
      </c>
      <c r="K34" s="27"/>
      <c r="L34" s="27"/>
      <c r="M34" s="27"/>
      <c r="N34" s="27"/>
      <c r="P34" s="17" t="n">
        <v>46383</v>
      </c>
      <c r="Q34" s="18" t="n">
        <f aca="false">SUMIF($B$10:$B$335,$P34,$J$10:$J$335)</f>
        <v>0</v>
      </c>
    </row>
    <row r="35" customFormat="false" ht="15" hidden="false" customHeight="false" outlineLevel="0" collapsed="false">
      <c r="A35" s="19" t="str">
        <f aca="false">IF($B35="","",ROW()-9)</f>
        <v/>
      </c>
      <c r="B35" s="26"/>
      <c r="C35" s="27"/>
      <c r="D35" s="27"/>
      <c r="E35" s="28"/>
      <c r="F35" s="28"/>
      <c r="G35" s="27"/>
      <c r="H35" s="29"/>
      <c r="I35" s="30"/>
      <c r="J35" s="18" t="str">
        <f aca="false">IF($H35="","",$H35*$I35)</f>
        <v/>
      </c>
      <c r="K35" s="27"/>
      <c r="L35" s="27"/>
      <c r="M35" s="27"/>
      <c r="N35" s="27"/>
      <c r="P35" s="17" t="n">
        <v>46384</v>
      </c>
      <c r="Q35" s="18" t="n">
        <f aca="false">SUMIF($B$10:$B$335,$P35,$J$10:$J$335)</f>
        <v>0</v>
      </c>
    </row>
    <row r="36" customFormat="false" ht="15" hidden="false" customHeight="false" outlineLevel="0" collapsed="false">
      <c r="A36" s="19" t="str">
        <f aca="false">IF($B36="","",ROW()-9)</f>
        <v/>
      </c>
      <c r="B36" s="26"/>
      <c r="C36" s="27"/>
      <c r="D36" s="27"/>
      <c r="E36" s="28"/>
      <c r="F36" s="28"/>
      <c r="G36" s="27"/>
      <c r="H36" s="29"/>
      <c r="I36" s="30"/>
      <c r="J36" s="18" t="str">
        <f aca="false">IF($H36="","",$H36*$I36)</f>
        <v/>
      </c>
      <c r="K36" s="27"/>
      <c r="L36" s="27"/>
      <c r="M36" s="27"/>
      <c r="N36" s="27"/>
      <c r="P36" s="17" t="n">
        <v>46385</v>
      </c>
      <c r="Q36" s="18" t="n">
        <f aca="false">SUMIF($B$10:$B$335,$P36,$J$10:$J$335)</f>
        <v>0</v>
      </c>
    </row>
    <row r="37" customFormat="false" ht="15" hidden="false" customHeight="false" outlineLevel="0" collapsed="false">
      <c r="A37" s="19" t="str">
        <f aca="false">IF($B37="","",ROW()-9)</f>
        <v/>
      </c>
      <c r="B37" s="26"/>
      <c r="C37" s="27"/>
      <c r="D37" s="27"/>
      <c r="E37" s="28"/>
      <c r="F37" s="28"/>
      <c r="G37" s="27"/>
      <c r="H37" s="29"/>
      <c r="I37" s="30"/>
      <c r="J37" s="18" t="str">
        <f aca="false">IF($H37="","",$H37*$I37)</f>
        <v/>
      </c>
      <c r="K37" s="27"/>
      <c r="L37" s="27"/>
      <c r="M37" s="27"/>
      <c r="N37" s="27"/>
      <c r="P37" s="17" t="n">
        <v>46386</v>
      </c>
      <c r="Q37" s="18" t="n">
        <f aca="false">SUMIF($B$10:$B$335,$P37,$J$10:$J$335)</f>
        <v>0</v>
      </c>
    </row>
    <row r="38" customFormat="false" ht="15" hidden="false" customHeight="false" outlineLevel="0" collapsed="false">
      <c r="A38" s="19" t="str">
        <f aca="false">IF($B38="","",ROW()-9)</f>
        <v/>
      </c>
      <c r="B38" s="26"/>
      <c r="C38" s="27"/>
      <c r="D38" s="27"/>
      <c r="E38" s="28"/>
      <c r="F38" s="28"/>
      <c r="G38" s="27"/>
      <c r="H38" s="29"/>
      <c r="I38" s="30"/>
      <c r="J38" s="18" t="str">
        <f aca="false">IF($H38="","",$H38*$I38)</f>
        <v/>
      </c>
      <c r="K38" s="27"/>
      <c r="L38" s="27"/>
      <c r="M38" s="27"/>
      <c r="N38" s="27"/>
      <c r="P38" s="17" t="n">
        <v>46387</v>
      </c>
      <c r="Q38" s="18" t="n">
        <f aca="false">SUMIF($B$10:$B$335,$P38,$J$10:$J$335)</f>
        <v>0</v>
      </c>
    </row>
    <row r="39" customFormat="false" ht="15" hidden="false" customHeight="false" outlineLevel="0" collapsed="false">
      <c r="A39" s="19" t="str">
        <f aca="false">IF($B39="","",ROW()-9)</f>
        <v/>
      </c>
      <c r="B39" s="26"/>
      <c r="C39" s="27"/>
      <c r="D39" s="27"/>
      <c r="E39" s="28"/>
      <c r="F39" s="28"/>
      <c r="G39" s="27"/>
      <c r="H39" s="29"/>
      <c r="I39" s="30"/>
      <c r="J39" s="18" t="str">
        <f aca="false">IF($H39="","",$H39*$I39)</f>
        <v/>
      </c>
      <c r="K39" s="27"/>
      <c r="L39" s="27"/>
      <c r="M39" s="27"/>
      <c r="N39" s="27"/>
      <c r="P39" s="31" t="s">
        <v>60</v>
      </c>
      <c r="Q39" s="32" t="n">
        <f aca="false">SUM($Q$8:$Q$38)</f>
        <v>0</v>
      </c>
    </row>
    <row r="40" customFormat="false" ht="15" hidden="false" customHeight="false" outlineLevel="0" collapsed="false">
      <c r="A40" s="19" t="str">
        <f aca="false">IF($B40="","",ROW()-9)</f>
        <v/>
      </c>
      <c r="B40" s="26"/>
      <c r="C40" s="27"/>
      <c r="D40" s="27"/>
      <c r="E40" s="28"/>
      <c r="F40" s="28"/>
      <c r="G40" s="27"/>
      <c r="H40" s="29"/>
      <c r="I40" s="30"/>
      <c r="J40" s="18" t="str">
        <f aca="false">IF($H40="","",$H40*$I40)</f>
        <v/>
      </c>
      <c r="K40" s="27"/>
      <c r="L40" s="27"/>
      <c r="M40" s="27"/>
      <c r="N40" s="27"/>
    </row>
    <row r="41" customFormat="false" ht="15" hidden="false" customHeight="false" outlineLevel="0" collapsed="false">
      <c r="A41" s="19" t="str">
        <f aca="false">IF($B41="","",ROW()-9)</f>
        <v/>
      </c>
      <c r="B41" s="26"/>
      <c r="C41" s="27"/>
      <c r="D41" s="27"/>
      <c r="E41" s="28"/>
      <c r="F41" s="28"/>
      <c r="G41" s="27"/>
      <c r="H41" s="29"/>
      <c r="I41" s="30"/>
      <c r="J41" s="18" t="str">
        <f aca="false">IF($H41="","",$H41*$I41)</f>
        <v/>
      </c>
      <c r="K41" s="27"/>
      <c r="L41" s="27"/>
      <c r="M41" s="27"/>
      <c r="N41" s="27"/>
    </row>
    <row r="42" customFormat="false" ht="15" hidden="false" customHeight="false" outlineLevel="0" collapsed="false">
      <c r="A42" s="19" t="str">
        <f aca="false">IF($B42="","",ROW()-9)</f>
        <v/>
      </c>
      <c r="B42" s="26"/>
      <c r="C42" s="27"/>
      <c r="D42" s="27"/>
      <c r="E42" s="28"/>
      <c r="F42" s="28"/>
      <c r="G42" s="27"/>
      <c r="H42" s="29"/>
      <c r="I42" s="30"/>
      <c r="J42" s="18" t="str">
        <f aca="false">IF($H42="","",$H42*$I42)</f>
        <v/>
      </c>
      <c r="K42" s="27"/>
      <c r="L42" s="27"/>
      <c r="M42" s="27"/>
      <c r="N42" s="27"/>
    </row>
    <row r="43" customFormat="false" ht="15" hidden="false" customHeight="false" outlineLevel="0" collapsed="false">
      <c r="A43" s="19" t="str">
        <f aca="false">IF($B43="","",ROW()-9)</f>
        <v/>
      </c>
      <c r="B43" s="26"/>
      <c r="C43" s="27"/>
      <c r="D43" s="27"/>
      <c r="E43" s="28"/>
      <c r="F43" s="28"/>
      <c r="G43" s="27"/>
      <c r="H43" s="29"/>
      <c r="I43" s="30"/>
      <c r="J43" s="18" t="str">
        <f aca="false">IF($H43="","",$H43*$I43)</f>
        <v/>
      </c>
      <c r="K43" s="27"/>
      <c r="L43" s="27"/>
      <c r="M43" s="27"/>
      <c r="N43" s="27"/>
    </row>
    <row r="44" customFormat="false" ht="15" hidden="false" customHeight="false" outlineLevel="0" collapsed="false">
      <c r="A44" s="19" t="str">
        <f aca="false">IF($B44="","",ROW()-9)</f>
        <v/>
      </c>
      <c r="B44" s="26"/>
      <c r="C44" s="27"/>
      <c r="D44" s="27"/>
      <c r="E44" s="28"/>
      <c r="F44" s="28"/>
      <c r="G44" s="27"/>
      <c r="H44" s="29"/>
      <c r="I44" s="30"/>
      <c r="J44" s="18" t="str">
        <f aca="false">IF($H44="","",$H44*$I44)</f>
        <v/>
      </c>
      <c r="K44" s="27"/>
      <c r="L44" s="27"/>
      <c r="M44" s="27"/>
      <c r="N44" s="27"/>
    </row>
    <row r="45" customFormat="false" ht="15" hidden="false" customHeight="false" outlineLevel="0" collapsed="false">
      <c r="A45" s="19" t="str">
        <f aca="false">IF($B45="","",ROW()-9)</f>
        <v/>
      </c>
      <c r="B45" s="26"/>
      <c r="C45" s="27"/>
      <c r="D45" s="27"/>
      <c r="E45" s="28"/>
      <c r="F45" s="28"/>
      <c r="G45" s="27"/>
      <c r="H45" s="29"/>
      <c r="I45" s="30"/>
      <c r="J45" s="18" t="str">
        <f aca="false">IF($H45="","",$H45*$I45)</f>
        <v/>
      </c>
      <c r="K45" s="27"/>
      <c r="L45" s="27"/>
      <c r="M45" s="27"/>
      <c r="N45" s="27"/>
    </row>
    <row r="46" customFormat="false" ht="15" hidden="false" customHeight="false" outlineLevel="0" collapsed="false">
      <c r="A46" s="19" t="str">
        <f aca="false">IF($B46="","",ROW()-9)</f>
        <v/>
      </c>
      <c r="B46" s="26"/>
      <c r="C46" s="27"/>
      <c r="D46" s="27"/>
      <c r="E46" s="28"/>
      <c r="F46" s="28"/>
      <c r="G46" s="27"/>
      <c r="H46" s="29"/>
      <c r="I46" s="30"/>
      <c r="J46" s="18" t="str">
        <f aca="false">IF($H46="","",$H46*$I46)</f>
        <v/>
      </c>
      <c r="K46" s="27"/>
      <c r="L46" s="27"/>
      <c r="M46" s="27"/>
      <c r="N46" s="27"/>
    </row>
    <row r="47" customFormat="false" ht="15" hidden="false" customHeight="false" outlineLevel="0" collapsed="false">
      <c r="A47" s="19" t="str">
        <f aca="false">IF($B47="","",ROW()-9)</f>
        <v/>
      </c>
      <c r="B47" s="26"/>
      <c r="C47" s="27"/>
      <c r="D47" s="27"/>
      <c r="E47" s="28"/>
      <c r="F47" s="28"/>
      <c r="G47" s="27"/>
      <c r="H47" s="29"/>
      <c r="I47" s="30"/>
      <c r="J47" s="18" t="str">
        <f aca="false">IF($H47="","",$H47*$I47)</f>
        <v/>
      </c>
      <c r="K47" s="27"/>
      <c r="L47" s="27"/>
      <c r="M47" s="27"/>
      <c r="N47" s="27"/>
    </row>
    <row r="48" customFormat="false" ht="15" hidden="false" customHeight="false" outlineLevel="0" collapsed="false">
      <c r="A48" s="19" t="str">
        <f aca="false">IF($B48="","",ROW()-9)</f>
        <v/>
      </c>
      <c r="B48" s="26"/>
      <c r="C48" s="27"/>
      <c r="D48" s="27"/>
      <c r="E48" s="28"/>
      <c r="F48" s="28"/>
      <c r="G48" s="27"/>
      <c r="H48" s="29"/>
      <c r="I48" s="30"/>
      <c r="J48" s="18" t="str">
        <f aca="false">IF($H48="","",$H48*$I48)</f>
        <v/>
      </c>
      <c r="K48" s="27"/>
      <c r="L48" s="27"/>
      <c r="M48" s="27"/>
      <c r="N48" s="27"/>
    </row>
    <row r="49" customFormat="false" ht="15" hidden="false" customHeight="false" outlineLevel="0" collapsed="false">
      <c r="A49" s="19" t="str">
        <f aca="false">IF($B49="","",ROW()-9)</f>
        <v/>
      </c>
      <c r="B49" s="26"/>
      <c r="C49" s="27"/>
      <c r="D49" s="27"/>
      <c r="E49" s="28"/>
      <c r="F49" s="28"/>
      <c r="G49" s="27"/>
      <c r="H49" s="29"/>
      <c r="I49" s="30"/>
      <c r="J49" s="18" t="str">
        <f aca="false">IF($H49="","",$H49*$I49)</f>
        <v/>
      </c>
      <c r="K49" s="27"/>
      <c r="L49" s="27"/>
      <c r="M49" s="27"/>
      <c r="N49" s="27"/>
    </row>
    <row r="50" customFormat="false" ht="15" hidden="false" customHeight="false" outlineLevel="0" collapsed="false">
      <c r="A50" s="19" t="str">
        <f aca="false">IF($B50="","",ROW()-9)</f>
        <v/>
      </c>
      <c r="B50" s="26"/>
      <c r="C50" s="27"/>
      <c r="D50" s="27"/>
      <c r="E50" s="28"/>
      <c r="F50" s="28"/>
      <c r="G50" s="27"/>
      <c r="H50" s="29"/>
      <c r="I50" s="30"/>
      <c r="J50" s="18" t="str">
        <f aca="false">IF($H50="","",$H50*$I50)</f>
        <v/>
      </c>
      <c r="K50" s="27"/>
      <c r="L50" s="27"/>
      <c r="M50" s="27"/>
      <c r="N50" s="27"/>
    </row>
    <row r="51" customFormat="false" ht="15" hidden="false" customHeight="false" outlineLevel="0" collapsed="false">
      <c r="A51" s="19" t="str">
        <f aca="false">IF($B51="","",ROW()-9)</f>
        <v/>
      </c>
      <c r="B51" s="26"/>
      <c r="C51" s="27"/>
      <c r="D51" s="27"/>
      <c r="E51" s="28"/>
      <c r="F51" s="28"/>
      <c r="G51" s="27"/>
      <c r="H51" s="29"/>
      <c r="I51" s="30"/>
      <c r="J51" s="18" t="str">
        <f aca="false">IF($H51="","",$H51*$I51)</f>
        <v/>
      </c>
      <c r="K51" s="27"/>
      <c r="L51" s="27"/>
      <c r="M51" s="27"/>
      <c r="N51" s="27"/>
    </row>
    <row r="52" customFormat="false" ht="15" hidden="false" customHeight="false" outlineLevel="0" collapsed="false">
      <c r="A52" s="19" t="str">
        <f aca="false">IF($B52="","",ROW()-9)</f>
        <v/>
      </c>
      <c r="B52" s="26"/>
      <c r="C52" s="27"/>
      <c r="D52" s="27"/>
      <c r="E52" s="28"/>
      <c r="F52" s="28"/>
      <c r="G52" s="27"/>
      <c r="H52" s="29"/>
      <c r="I52" s="30"/>
      <c r="J52" s="18" t="str">
        <f aca="false">IF($H52="","",$H52*$I52)</f>
        <v/>
      </c>
      <c r="K52" s="27"/>
      <c r="L52" s="27"/>
      <c r="M52" s="27"/>
      <c r="N52" s="27"/>
    </row>
    <row r="53" customFormat="false" ht="15" hidden="false" customHeight="false" outlineLevel="0" collapsed="false">
      <c r="A53" s="19" t="str">
        <f aca="false">IF($B53="","",ROW()-9)</f>
        <v/>
      </c>
      <c r="B53" s="26"/>
      <c r="C53" s="27"/>
      <c r="D53" s="27"/>
      <c r="E53" s="28"/>
      <c r="F53" s="28"/>
      <c r="G53" s="27"/>
      <c r="H53" s="29"/>
      <c r="I53" s="30"/>
      <c r="J53" s="18" t="str">
        <f aca="false">IF($H53="","",$H53*$I53)</f>
        <v/>
      </c>
      <c r="K53" s="27"/>
      <c r="L53" s="27"/>
      <c r="M53" s="27"/>
      <c r="N53" s="27"/>
    </row>
    <row r="54" customFormat="false" ht="15" hidden="false" customHeight="false" outlineLevel="0" collapsed="false">
      <c r="A54" s="19" t="str">
        <f aca="false">IF($B54="","",ROW()-9)</f>
        <v/>
      </c>
      <c r="B54" s="26"/>
      <c r="C54" s="27"/>
      <c r="D54" s="27"/>
      <c r="E54" s="28"/>
      <c r="F54" s="28"/>
      <c r="G54" s="27"/>
      <c r="H54" s="29"/>
      <c r="I54" s="30"/>
      <c r="J54" s="18" t="str">
        <f aca="false">IF($H54="","",$H54*$I54)</f>
        <v/>
      </c>
      <c r="K54" s="27"/>
      <c r="L54" s="27"/>
      <c r="M54" s="27"/>
      <c r="N54" s="27"/>
    </row>
    <row r="55" customFormat="false" ht="15" hidden="false" customHeight="false" outlineLevel="0" collapsed="false">
      <c r="A55" s="19" t="str">
        <f aca="false">IF($B55="","",ROW()-9)</f>
        <v/>
      </c>
      <c r="B55" s="26"/>
      <c r="C55" s="27"/>
      <c r="D55" s="27"/>
      <c r="E55" s="28"/>
      <c r="F55" s="28"/>
      <c r="G55" s="27"/>
      <c r="H55" s="29"/>
      <c r="I55" s="30"/>
      <c r="J55" s="18" t="str">
        <f aca="false">IF($H55="","",$H55*$I55)</f>
        <v/>
      </c>
      <c r="K55" s="27"/>
      <c r="L55" s="27"/>
      <c r="M55" s="27"/>
      <c r="N55" s="27"/>
    </row>
    <row r="56" customFormat="false" ht="15" hidden="false" customHeight="false" outlineLevel="0" collapsed="false">
      <c r="A56" s="19" t="str">
        <f aca="false">IF($B56="","",ROW()-9)</f>
        <v/>
      </c>
      <c r="B56" s="26"/>
      <c r="C56" s="27"/>
      <c r="D56" s="27"/>
      <c r="E56" s="28"/>
      <c r="F56" s="28"/>
      <c r="G56" s="27"/>
      <c r="H56" s="29"/>
      <c r="I56" s="30"/>
      <c r="J56" s="18" t="str">
        <f aca="false">IF($H56="","",$H56*$I56)</f>
        <v/>
      </c>
      <c r="K56" s="27"/>
      <c r="L56" s="27"/>
      <c r="M56" s="27"/>
      <c r="N56" s="27"/>
    </row>
    <row r="57" customFormat="false" ht="15" hidden="false" customHeight="false" outlineLevel="0" collapsed="false">
      <c r="A57" s="19" t="str">
        <f aca="false">IF($B57="","",ROW()-9)</f>
        <v/>
      </c>
      <c r="B57" s="26"/>
      <c r="C57" s="27"/>
      <c r="D57" s="27"/>
      <c r="E57" s="28"/>
      <c r="F57" s="28"/>
      <c r="G57" s="27"/>
      <c r="H57" s="29"/>
      <c r="I57" s="30"/>
      <c r="J57" s="18" t="str">
        <f aca="false">IF($H57="","",$H57*$I57)</f>
        <v/>
      </c>
      <c r="K57" s="27"/>
      <c r="L57" s="27"/>
      <c r="M57" s="27"/>
      <c r="N57" s="27"/>
    </row>
    <row r="58" customFormat="false" ht="15" hidden="false" customHeight="false" outlineLevel="0" collapsed="false">
      <c r="A58" s="19" t="str">
        <f aca="false">IF($B58="","",ROW()-9)</f>
        <v/>
      </c>
      <c r="B58" s="26"/>
      <c r="C58" s="27"/>
      <c r="D58" s="27"/>
      <c r="E58" s="28"/>
      <c r="F58" s="28"/>
      <c r="G58" s="27"/>
      <c r="H58" s="29"/>
      <c r="I58" s="30"/>
      <c r="J58" s="18" t="str">
        <f aca="false">IF($H58="","",$H58*$I58)</f>
        <v/>
      </c>
      <c r="K58" s="27"/>
      <c r="L58" s="27"/>
      <c r="M58" s="27"/>
      <c r="N58" s="27"/>
    </row>
    <row r="59" customFormat="false" ht="15" hidden="false" customHeight="false" outlineLevel="0" collapsed="false">
      <c r="A59" s="19" t="str">
        <f aca="false">IF($B59="","",ROW()-9)</f>
        <v/>
      </c>
      <c r="B59" s="26"/>
      <c r="C59" s="27"/>
      <c r="D59" s="27"/>
      <c r="E59" s="28"/>
      <c r="F59" s="28"/>
      <c r="G59" s="27"/>
      <c r="H59" s="29"/>
      <c r="I59" s="30"/>
      <c r="J59" s="18" t="str">
        <f aca="false">IF($H59="","",$H59*$I59)</f>
        <v/>
      </c>
      <c r="K59" s="27"/>
      <c r="L59" s="27"/>
      <c r="M59" s="27"/>
      <c r="N59" s="27"/>
    </row>
    <row r="60" customFormat="false" ht="15" hidden="false" customHeight="false" outlineLevel="0" collapsed="false">
      <c r="A60" s="19" t="str">
        <f aca="false">IF($B60="","",ROW()-9)</f>
        <v/>
      </c>
      <c r="B60" s="26"/>
      <c r="C60" s="27"/>
      <c r="D60" s="27"/>
      <c r="E60" s="28"/>
      <c r="F60" s="28"/>
      <c r="G60" s="27"/>
      <c r="H60" s="29"/>
      <c r="I60" s="30"/>
      <c r="J60" s="18" t="str">
        <f aca="false">IF($H60="","",$H60*$I60)</f>
        <v/>
      </c>
      <c r="K60" s="27"/>
      <c r="L60" s="27"/>
      <c r="M60" s="27"/>
      <c r="N60" s="27"/>
    </row>
    <row r="61" customFormat="false" ht="15" hidden="false" customHeight="false" outlineLevel="0" collapsed="false">
      <c r="A61" s="19" t="str">
        <f aca="false">IF($B61="","",ROW()-9)</f>
        <v/>
      </c>
      <c r="B61" s="26"/>
      <c r="C61" s="27"/>
      <c r="D61" s="27"/>
      <c r="E61" s="28"/>
      <c r="F61" s="28"/>
      <c r="G61" s="27"/>
      <c r="H61" s="29"/>
      <c r="I61" s="30"/>
      <c r="J61" s="18" t="str">
        <f aca="false">IF($H61="","",$H61*$I61)</f>
        <v/>
      </c>
      <c r="K61" s="27"/>
      <c r="L61" s="27"/>
      <c r="M61" s="27"/>
      <c r="N61" s="27"/>
    </row>
    <row r="62" customFormat="false" ht="15" hidden="false" customHeight="false" outlineLevel="0" collapsed="false">
      <c r="A62" s="19" t="str">
        <f aca="false">IF($B62="","",ROW()-9)</f>
        <v/>
      </c>
      <c r="B62" s="26"/>
      <c r="C62" s="27"/>
      <c r="D62" s="27"/>
      <c r="E62" s="28"/>
      <c r="F62" s="28"/>
      <c r="G62" s="27"/>
      <c r="H62" s="29"/>
      <c r="I62" s="30"/>
      <c r="J62" s="18" t="str">
        <f aca="false">IF($H62="","",$H62*$I62)</f>
        <v/>
      </c>
      <c r="K62" s="27"/>
      <c r="L62" s="27"/>
      <c r="M62" s="27"/>
      <c r="N62" s="27"/>
    </row>
    <row r="63" customFormat="false" ht="15" hidden="false" customHeight="false" outlineLevel="0" collapsed="false">
      <c r="A63" s="19" t="str">
        <f aca="false">IF($B63="","",ROW()-9)</f>
        <v/>
      </c>
      <c r="B63" s="26"/>
      <c r="C63" s="27"/>
      <c r="D63" s="27"/>
      <c r="E63" s="28"/>
      <c r="F63" s="28"/>
      <c r="G63" s="27"/>
      <c r="H63" s="29"/>
      <c r="I63" s="30"/>
      <c r="J63" s="18" t="str">
        <f aca="false">IF($H63="","",$H63*$I63)</f>
        <v/>
      </c>
      <c r="K63" s="27"/>
      <c r="L63" s="27"/>
      <c r="M63" s="27"/>
      <c r="N63" s="27"/>
    </row>
    <row r="64" customFormat="false" ht="15" hidden="false" customHeight="false" outlineLevel="0" collapsed="false">
      <c r="A64" s="19" t="str">
        <f aca="false">IF($B64="","",ROW()-9)</f>
        <v/>
      </c>
      <c r="B64" s="26"/>
      <c r="C64" s="27"/>
      <c r="D64" s="27"/>
      <c r="E64" s="28"/>
      <c r="F64" s="28"/>
      <c r="G64" s="27"/>
      <c r="H64" s="29"/>
      <c r="I64" s="30"/>
      <c r="J64" s="18" t="str">
        <f aca="false">IF($H64="","",$H64*$I64)</f>
        <v/>
      </c>
      <c r="K64" s="27"/>
      <c r="L64" s="27"/>
      <c r="M64" s="27"/>
      <c r="N64" s="27"/>
    </row>
    <row r="65" customFormat="false" ht="15" hidden="false" customHeight="false" outlineLevel="0" collapsed="false">
      <c r="A65" s="19" t="str">
        <f aca="false">IF($B65="","",ROW()-9)</f>
        <v/>
      </c>
      <c r="B65" s="26"/>
      <c r="C65" s="27"/>
      <c r="D65" s="27"/>
      <c r="E65" s="28"/>
      <c r="F65" s="28"/>
      <c r="G65" s="27"/>
      <c r="H65" s="29"/>
      <c r="I65" s="30"/>
      <c r="J65" s="18" t="str">
        <f aca="false">IF($H65="","",$H65*$I65)</f>
        <v/>
      </c>
      <c r="K65" s="27"/>
      <c r="L65" s="27"/>
      <c r="M65" s="27"/>
      <c r="N65" s="27"/>
    </row>
    <row r="66" customFormat="false" ht="15" hidden="false" customHeight="false" outlineLevel="0" collapsed="false">
      <c r="A66" s="19" t="str">
        <f aca="false">IF($B66="","",ROW()-9)</f>
        <v/>
      </c>
      <c r="B66" s="26"/>
      <c r="C66" s="27"/>
      <c r="D66" s="27"/>
      <c r="E66" s="28"/>
      <c r="F66" s="28"/>
      <c r="G66" s="27"/>
      <c r="H66" s="29"/>
      <c r="I66" s="30"/>
      <c r="J66" s="18" t="str">
        <f aca="false">IF($H66="","",$H66*$I66)</f>
        <v/>
      </c>
      <c r="K66" s="27"/>
      <c r="L66" s="27"/>
      <c r="M66" s="27"/>
      <c r="N66" s="27"/>
    </row>
    <row r="67" customFormat="false" ht="15" hidden="false" customHeight="false" outlineLevel="0" collapsed="false">
      <c r="A67" s="19" t="str">
        <f aca="false">IF($B67="","",ROW()-9)</f>
        <v/>
      </c>
      <c r="B67" s="26"/>
      <c r="C67" s="27"/>
      <c r="D67" s="27"/>
      <c r="E67" s="28"/>
      <c r="F67" s="28"/>
      <c r="G67" s="27"/>
      <c r="H67" s="29"/>
      <c r="I67" s="30"/>
      <c r="J67" s="18" t="str">
        <f aca="false">IF($H67="","",$H67*$I67)</f>
        <v/>
      </c>
      <c r="K67" s="27"/>
      <c r="L67" s="27"/>
      <c r="M67" s="27"/>
      <c r="N67" s="27"/>
    </row>
    <row r="68" customFormat="false" ht="15" hidden="false" customHeight="false" outlineLevel="0" collapsed="false">
      <c r="A68" s="19" t="str">
        <f aca="false">IF($B68="","",ROW()-9)</f>
        <v/>
      </c>
      <c r="B68" s="26"/>
      <c r="C68" s="27"/>
      <c r="D68" s="27"/>
      <c r="E68" s="28"/>
      <c r="F68" s="28"/>
      <c r="G68" s="27"/>
      <c r="H68" s="29"/>
      <c r="I68" s="30"/>
      <c r="J68" s="18" t="str">
        <f aca="false">IF($H68="","",$H68*$I68)</f>
        <v/>
      </c>
      <c r="K68" s="27"/>
      <c r="L68" s="27"/>
      <c r="M68" s="27"/>
      <c r="N68" s="27"/>
    </row>
    <row r="69" customFormat="false" ht="15" hidden="false" customHeight="false" outlineLevel="0" collapsed="false">
      <c r="A69" s="19" t="str">
        <f aca="false">IF($B69="","",ROW()-9)</f>
        <v/>
      </c>
      <c r="B69" s="26"/>
      <c r="C69" s="27"/>
      <c r="D69" s="27"/>
      <c r="E69" s="28"/>
      <c r="F69" s="28"/>
      <c r="G69" s="27"/>
      <c r="H69" s="29"/>
      <c r="I69" s="30"/>
      <c r="J69" s="18" t="str">
        <f aca="false">IF($H69="","",$H69*$I69)</f>
        <v/>
      </c>
      <c r="K69" s="27"/>
      <c r="L69" s="27"/>
      <c r="M69" s="27"/>
      <c r="N69" s="27"/>
    </row>
    <row r="70" customFormat="false" ht="15" hidden="false" customHeight="false" outlineLevel="0" collapsed="false">
      <c r="A70" s="19" t="str">
        <f aca="false">IF($B70="","",ROW()-9)</f>
        <v/>
      </c>
      <c r="B70" s="26"/>
      <c r="C70" s="27"/>
      <c r="D70" s="27"/>
      <c r="E70" s="28"/>
      <c r="F70" s="28"/>
      <c r="G70" s="27"/>
      <c r="H70" s="29"/>
      <c r="I70" s="30"/>
      <c r="J70" s="18" t="str">
        <f aca="false">IF($H70="","",$H70*$I70)</f>
        <v/>
      </c>
      <c r="K70" s="27"/>
      <c r="L70" s="27"/>
      <c r="M70" s="27"/>
      <c r="N70" s="27"/>
    </row>
    <row r="71" customFormat="false" ht="15" hidden="false" customHeight="false" outlineLevel="0" collapsed="false">
      <c r="A71" s="19" t="str">
        <f aca="false">IF($B71="","",ROW()-9)</f>
        <v/>
      </c>
      <c r="B71" s="26"/>
      <c r="C71" s="27"/>
      <c r="D71" s="27"/>
      <c r="E71" s="28"/>
      <c r="F71" s="28"/>
      <c r="G71" s="27"/>
      <c r="H71" s="29"/>
      <c r="I71" s="30"/>
      <c r="J71" s="18" t="str">
        <f aca="false">IF($H71="","",$H71*$I71)</f>
        <v/>
      </c>
      <c r="K71" s="27"/>
      <c r="L71" s="27"/>
      <c r="M71" s="27"/>
      <c r="N71" s="27"/>
    </row>
    <row r="72" customFormat="false" ht="15" hidden="false" customHeight="false" outlineLevel="0" collapsed="false">
      <c r="A72" s="19" t="str">
        <f aca="false">IF($B72="","",ROW()-9)</f>
        <v/>
      </c>
      <c r="B72" s="26"/>
      <c r="C72" s="27"/>
      <c r="D72" s="27"/>
      <c r="E72" s="28"/>
      <c r="F72" s="28"/>
      <c r="G72" s="27"/>
      <c r="H72" s="29"/>
      <c r="I72" s="30"/>
      <c r="J72" s="18" t="str">
        <f aca="false">IF($H72="","",$H72*$I72)</f>
        <v/>
      </c>
      <c r="K72" s="27"/>
      <c r="L72" s="27"/>
      <c r="M72" s="27"/>
      <c r="N72" s="27"/>
    </row>
    <row r="73" customFormat="false" ht="15" hidden="false" customHeight="false" outlineLevel="0" collapsed="false">
      <c r="A73" s="19" t="str">
        <f aca="false">IF($B73="","",ROW()-9)</f>
        <v/>
      </c>
      <c r="B73" s="26"/>
      <c r="C73" s="27"/>
      <c r="D73" s="27"/>
      <c r="E73" s="28"/>
      <c r="F73" s="28"/>
      <c r="G73" s="27"/>
      <c r="H73" s="29"/>
      <c r="I73" s="30"/>
      <c r="J73" s="18" t="str">
        <f aca="false">IF($H73="","",$H73*$I73)</f>
        <v/>
      </c>
      <c r="K73" s="27"/>
      <c r="L73" s="27"/>
      <c r="M73" s="27"/>
      <c r="N73" s="27"/>
    </row>
    <row r="74" customFormat="false" ht="15" hidden="false" customHeight="false" outlineLevel="0" collapsed="false">
      <c r="A74" s="19" t="str">
        <f aca="false">IF($B74="","",ROW()-9)</f>
        <v/>
      </c>
      <c r="B74" s="26"/>
      <c r="C74" s="27"/>
      <c r="D74" s="27"/>
      <c r="E74" s="28"/>
      <c r="F74" s="28"/>
      <c r="G74" s="27"/>
      <c r="H74" s="29"/>
      <c r="I74" s="30"/>
      <c r="J74" s="18" t="str">
        <f aca="false">IF($H74="","",$H74*$I74)</f>
        <v/>
      </c>
      <c r="K74" s="27"/>
      <c r="L74" s="27"/>
      <c r="M74" s="27"/>
      <c r="N74" s="27"/>
    </row>
    <row r="75" customFormat="false" ht="15" hidden="false" customHeight="false" outlineLevel="0" collapsed="false">
      <c r="A75" s="19" t="str">
        <f aca="false">IF($B75="","",ROW()-9)</f>
        <v/>
      </c>
      <c r="B75" s="26"/>
      <c r="C75" s="27"/>
      <c r="D75" s="27"/>
      <c r="E75" s="28"/>
      <c r="F75" s="28"/>
      <c r="G75" s="27"/>
      <c r="H75" s="29"/>
      <c r="I75" s="30"/>
      <c r="J75" s="18" t="str">
        <f aca="false">IF($H75="","",$H75*$I75)</f>
        <v/>
      </c>
      <c r="K75" s="27"/>
      <c r="L75" s="27"/>
      <c r="M75" s="27"/>
      <c r="N75" s="27"/>
    </row>
    <row r="76" customFormat="false" ht="15" hidden="false" customHeight="false" outlineLevel="0" collapsed="false">
      <c r="A76" s="19" t="str">
        <f aca="false">IF($B76="","",ROW()-9)</f>
        <v/>
      </c>
      <c r="B76" s="26"/>
      <c r="C76" s="27"/>
      <c r="D76" s="27"/>
      <c r="E76" s="28"/>
      <c r="F76" s="28"/>
      <c r="G76" s="27"/>
      <c r="H76" s="29"/>
      <c r="I76" s="30"/>
      <c r="J76" s="18" t="str">
        <f aca="false">IF($H76="","",$H76*$I76)</f>
        <v/>
      </c>
      <c r="K76" s="27"/>
      <c r="L76" s="27"/>
      <c r="M76" s="27"/>
      <c r="N76" s="27"/>
    </row>
    <row r="77" customFormat="false" ht="15" hidden="false" customHeight="false" outlineLevel="0" collapsed="false">
      <c r="A77" s="19" t="str">
        <f aca="false">IF($B77="","",ROW()-9)</f>
        <v/>
      </c>
      <c r="B77" s="26"/>
      <c r="C77" s="27"/>
      <c r="D77" s="27"/>
      <c r="E77" s="28"/>
      <c r="F77" s="28"/>
      <c r="G77" s="27"/>
      <c r="H77" s="29"/>
      <c r="I77" s="30"/>
      <c r="J77" s="18" t="str">
        <f aca="false">IF($H77="","",$H77*$I77)</f>
        <v/>
      </c>
      <c r="K77" s="27"/>
      <c r="L77" s="27"/>
      <c r="M77" s="27"/>
      <c r="N77" s="27"/>
    </row>
    <row r="78" customFormat="false" ht="15" hidden="false" customHeight="false" outlineLevel="0" collapsed="false">
      <c r="A78" s="19" t="str">
        <f aca="false">IF($B78="","",ROW()-9)</f>
        <v/>
      </c>
      <c r="B78" s="26"/>
      <c r="C78" s="27"/>
      <c r="D78" s="27"/>
      <c r="E78" s="28"/>
      <c r="F78" s="28"/>
      <c r="G78" s="27"/>
      <c r="H78" s="29"/>
      <c r="I78" s="30"/>
      <c r="J78" s="18" t="str">
        <f aca="false">IF($H78="","",$H78*$I78)</f>
        <v/>
      </c>
      <c r="K78" s="27"/>
      <c r="L78" s="27"/>
      <c r="M78" s="27"/>
      <c r="N78" s="27"/>
    </row>
    <row r="79" customFormat="false" ht="15" hidden="false" customHeight="false" outlineLevel="0" collapsed="false">
      <c r="A79" s="19" t="str">
        <f aca="false">IF($B79="","",ROW()-9)</f>
        <v/>
      </c>
      <c r="B79" s="26"/>
      <c r="C79" s="27"/>
      <c r="D79" s="27"/>
      <c r="E79" s="28"/>
      <c r="F79" s="28"/>
      <c r="G79" s="27"/>
      <c r="H79" s="29"/>
      <c r="I79" s="30"/>
      <c r="J79" s="18" t="str">
        <f aca="false">IF($H79="","",$H79*$I79)</f>
        <v/>
      </c>
      <c r="K79" s="27"/>
      <c r="L79" s="27"/>
      <c r="M79" s="27"/>
      <c r="N79" s="27"/>
    </row>
    <row r="80" customFormat="false" ht="15" hidden="false" customHeight="false" outlineLevel="0" collapsed="false">
      <c r="A80" s="19" t="str">
        <f aca="false">IF($B80="","",ROW()-9)</f>
        <v/>
      </c>
      <c r="B80" s="26"/>
      <c r="C80" s="27"/>
      <c r="D80" s="27"/>
      <c r="E80" s="28"/>
      <c r="F80" s="28"/>
      <c r="G80" s="27"/>
      <c r="H80" s="29"/>
      <c r="I80" s="30"/>
      <c r="J80" s="18" t="str">
        <f aca="false">IF($H80="","",$H80*$I80)</f>
        <v/>
      </c>
      <c r="K80" s="27"/>
      <c r="L80" s="27"/>
      <c r="M80" s="27"/>
      <c r="N80" s="27"/>
    </row>
    <row r="81" customFormat="false" ht="15" hidden="false" customHeight="false" outlineLevel="0" collapsed="false">
      <c r="A81" s="19" t="str">
        <f aca="false">IF($B81="","",ROW()-9)</f>
        <v/>
      </c>
      <c r="B81" s="26"/>
      <c r="C81" s="27"/>
      <c r="D81" s="27"/>
      <c r="E81" s="28"/>
      <c r="F81" s="28"/>
      <c r="G81" s="27"/>
      <c r="H81" s="29"/>
      <c r="I81" s="30"/>
      <c r="J81" s="18" t="str">
        <f aca="false">IF($H81="","",$H81*$I81)</f>
        <v/>
      </c>
      <c r="K81" s="27"/>
      <c r="L81" s="27"/>
      <c r="M81" s="27"/>
      <c r="N81" s="27"/>
    </row>
    <row r="82" customFormat="false" ht="15" hidden="false" customHeight="false" outlineLevel="0" collapsed="false">
      <c r="A82" s="19" t="str">
        <f aca="false">IF($B82="","",ROW()-9)</f>
        <v/>
      </c>
      <c r="B82" s="26"/>
      <c r="C82" s="27"/>
      <c r="D82" s="27"/>
      <c r="E82" s="28"/>
      <c r="F82" s="28"/>
      <c r="G82" s="27"/>
      <c r="H82" s="29"/>
      <c r="I82" s="30"/>
      <c r="J82" s="18" t="str">
        <f aca="false">IF($H82="","",$H82*$I82)</f>
        <v/>
      </c>
      <c r="K82" s="27"/>
      <c r="L82" s="27"/>
      <c r="M82" s="27"/>
      <c r="N82" s="27"/>
    </row>
    <row r="83" customFormat="false" ht="15" hidden="false" customHeight="false" outlineLevel="0" collapsed="false">
      <c r="A83" s="19" t="str">
        <f aca="false">IF($B83="","",ROW()-9)</f>
        <v/>
      </c>
      <c r="B83" s="26"/>
      <c r="C83" s="27"/>
      <c r="D83" s="27"/>
      <c r="E83" s="28"/>
      <c r="F83" s="28"/>
      <c r="G83" s="27"/>
      <c r="H83" s="29"/>
      <c r="I83" s="30"/>
      <c r="J83" s="18" t="str">
        <f aca="false">IF($H83="","",$H83*$I83)</f>
        <v/>
      </c>
      <c r="K83" s="27"/>
      <c r="L83" s="27"/>
      <c r="M83" s="27"/>
      <c r="N83" s="27"/>
    </row>
    <row r="84" customFormat="false" ht="15" hidden="false" customHeight="false" outlineLevel="0" collapsed="false">
      <c r="A84" s="19" t="str">
        <f aca="false">IF($B84="","",ROW()-9)</f>
        <v/>
      </c>
      <c r="B84" s="26"/>
      <c r="C84" s="27"/>
      <c r="D84" s="27"/>
      <c r="E84" s="28"/>
      <c r="F84" s="28"/>
      <c r="G84" s="27"/>
      <c r="H84" s="29"/>
      <c r="I84" s="30"/>
      <c r="J84" s="18" t="str">
        <f aca="false">IF($H84="","",$H84*$I84)</f>
        <v/>
      </c>
      <c r="K84" s="27"/>
      <c r="L84" s="27"/>
      <c r="M84" s="27"/>
      <c r="N84" s="27"/>
    </row>
    <row r="85" customFormat="false" ht="15" hidden="false" customHeight="false" outlineLevel="0" collapsed="false">
      <c r="A85" s="19" t="str">
        <f aca="false">IF($B85="","",ROW()-9)</f>
        <v/>
      </c>
      <c r="B85" s="26"/>
      <c r="C85" s="27"/>
      <c r="D85" s="27"/>
      <c r="E85" s="28"/>
      <c r="F85" s="28"/>
      <c r="G85" s="27"/>
      <c r="H85" s="29"/>
      <c r="I85" s="30"/>
      <c r="J85" s="18" t="str">
        <f aca="false">IF($H85="","",$H85*$I85)</f>
        <v/>
      </c>
      <c r="K85" s="27"/>
      <c r="L85" s="27"/>
      <c r="M85" s="27"/>
      <c r="N85" s="27"/>
    </row>
    <row r="86" customFormat="false" ht="15" hidden="false" customHeight="false" outlineLevel="0" collapsed="false">
      <c r="A86" s="19" t="str">
        <f aca="false">IF($B86="","",ROW()-9)</f>
        <v/>
      </c>
      <c r="B86" s="26"/>
      <c r="C86" s="27"/>
      <c r="D86" s="27"/>
      <c r="E86" s="28"/>
      <c r="F86" s="28"/>
      <c r="G86" s="27"/>
      <c r="H86" s="29"/>
      <c r="I86" s="30"/>
      <c r="J86" s="18" t="str">
        <f aca="false">IF($H86="","",$H86*$I86)</f>
        <v/>
      </c>
      <c r="K86" s="27"/>
      <c r="L86" s="27"/>
      <c r="M86" s="27"/>
      <c r="N86" s="27"/>
    </row>
    <row r="87" customFormat="false" ht="15" hidden="false" customHeight="false" outlineLevel="0" collapsed="false">
      <c r="A87" s="19" t="str">
        <f aca="false">IF($B87="","",ROW()-9)</f>
        <v/>
      </c>
      <c r="B87" s="26"/>
      <c r="C87" s="27"/>
      <c r="D87" s="27"/>
      <c r="E87" s="28"/>
      <c r="F87" s="28"/>
      <c r="G87" s="27"/>
      <c r="H87" s="29"/>
      <c r="I87" s="30"/>
      <c r="J87" s="18" t="str">
        <f aca="false">IF($H87="","",$H87*$I87)</f>
        <v/>
      </c>
      <c r="K87" s="27"/>
      <c r="L87" s="27"/>
      <c r="M87" s="27"/>
      <c r="N87" s="27"/>
    </row>
    <row r="88" customFormat="false" ht="15" hidden="false" customHeight="false" outlineLevel="0" collapsed="false">
      <c r="A88" s="19" t="str">
        <f aca="false">IF($B88="","",ROW()-9)</f>
        <v/>
      </c>
      <c r="B88" s="26"/>
      <c r="C88" s="27"/>
      <c r="D88" s="27"/>
      <c r="E88" s="28"/>
      <c r="F88" s="28"/>
      <c r="G88" s="27"/>
      <c r="H88" s="29"/>
      <c r="I88" s="30"/>
      <c r="J88" s="18" t="str">
        <f aca="false">IF($H88="","",$H88*$I88)</f>
        <v/>
      </c>
      <c r="K88" s="27"/>
      <c r="L88" s="27"/>
      <c r="M88" s="27"/>
      <c r="N88" s="27"/>
    </row>
    <row r="89" customFormat="false" ht="15" hidden="false" customHeight="false" outlineLevel="0" collapsed="false">
      <c r="A89" s="19" t="str">
        <f aca="false">IF($B89="","",ROW()-9)</f>
        <v/>
      </c>
      <c r="B89" s="26"/>
      <c r="C89" s="27"/>
      <c r="D89" s="27"/>
      <c r="E89" s="28"/>
      <c r="F89" s="28"/>
      <c r="G89" s="27"/>
      <c r="H89" s="29"/>
      <c r="I89" s="30"/>
      <c r="J89" s="18" t="str">
        <f aca="false">IF($H89="","",$H89*$I89)</f>
        <v/>
      </c>
      <c r="K89" s="27"/>
      <c r="L89" s="27"/>
      <c r="M89" s="27"/>
      <c r="N89" s="27"/>
    </row>
    <row r="90" customFormat="false" ht="21.75" hidden="false" customHeight="true" outlineLevel="0" collapsed="false">
      <c r="A90" s="33" t="s">
        <v>115</v>
      </c>
      <c r="B90" s="33"/>
      <c r="C90" s="33"/>
      <c r="D90" s="33"/>
      <c r="E90" s="33"/>
      <c r="F90" s="33"/>
      <c r="G90" s="33"/>
      <c r="H90" s="33"/>
      <c r="I90" s="33"/>
      <c r="J90" s="33"/>
      <c r="K90" s="34" t="n">
        <f aca="false">SUM($J$92:$J$171)</f>
        <v>0</v>
      </c>
      <c r="L90" s="34"/>
      <c r="M90" s="34"/>
      <c r="N90" s="34"/>
    </row>
    <row r="91" customFormat="false" ht="27.75" hidden="false" customHeight="true" outlineLevel="0" collapsed="false">
      <c r="A91" s="14" t="s">
        <v>37</v>
      </c>
      <c r="B91" s="14" t="s">
        <v>38</v>
      </c>
      <c r="C91" s="14" t="s">
        <v>39</v>
      </c>
      <c r="D91" s="14" t="s">
        <v>40</v>
      </c>
      <c r="E91" s="14" t="s">
        <v>41</v>
      </c>
      <c r="F91" s="14" t="s">
        <v>42</v>
      </c>
      <c r="G91" s="14" t="s">
        <v>43</v>
      </c>
      <c r="H91" s="14" t="s">
        <v>44</v>
      </c>
      <c r="I91" s="14" t="s">
        <v>45</v>
      </c>
      <c r="J91" s="14" t="s">
        <v>46</v>
      </c>
      <c r="K91" s="14" t="s">
        <v>47</v>
      </c>
      <c r="L91" s="14" t="s">
        <v>48</v>
      </c>
      <c r="M91" s="14" t="s">
        <v>49</v>
      </c>
      <c r="N91" s="14" t="s">
        <v>50</v>
      </c>
    </row>
    <row r="92" customFormat="false" ht="15" hidden="false" customHeight="false" outlineLevel="0" collapsed="false">
      <c r="A92" s="19" t="str">
        <f aca="false">IF($B92="","",ROW()-91)</f>
        <v/>
      </c>
      <c r="B92" s="26"/>
      <c r="C92" s="27"/>
      <c r="D92" s="27"/>
      <c r="E92" s="28"/>
      <c r="F92" s="28"/>
      <c r="G92" s="27"/>
      <c r="H92" s="29"/>
      <c r="I92" s="30"/>
      <c r="J92" s="18" t="str">
        <f aca="false">IF($H92="","",$H92*$I92)</f>
        <v/>
      </c>
      <c r="K92" s="27"/>
      <c r="L92" s="27"/>
      <c r="M92" s="27"/>
      <c r="N92" s="27"/>
    </row>
    <row r="93" customFormat="false" ht="15" hidden="false" customHeight="false" outlineLevel="0" collapsed="false">
      <c r="A93" s="19" t="str">
        <f aca="false">IF($B93="","",ROW()-91)</f>
        <v/>
      </c>
      <c r="B93" s="26"/>
      <c r="C93" s="27"/>
      <c r="D93" s="27"/>
      <c r="E93" s="28"/>
      <c r="F93" s="28"/>
      <c r="G93" s="27"/>
      <c r="H93" s="29"/>
      <c r="I93" s="30"/>
      <c r="J93" s="18" t="str">
        <f aca="false">IF($H93="","",$H93*$I93)</f>
        <v/>
      </c>
      <c r="K93" s="27"/>
      <c r="L93" s="27"/>
      <c r="M93" s="27"/>
      <c r="N93" s="27"/>
    </row>
    <row r="94" customFormat="false" ht="15" hidden="false" customHeight="false" outlineLevel="0" collapsed="false">
      <c r="A94" s="19" t="str">
        <f aca="false">IF($B94="","",ROW()-91)</f>
        <v/>
      </c>
      <c r="B94" s="26"/>
      <c r="C94" s="27"/>
      <c r="D94" s="27"/>
      <c r="E94" s="28"/>
      <c r="F94" s="28"/>
      <c r="G94" s="27"/>
      <c r="H94" s="29"/>
      <c r="I94" s="30"/>
      <c r="J94" s="18" t="str">
        <f aca="false">IF($H94="","",$H94*$I94)</f>
        <v/>
      </c>
      <c r="K94" s="27"/>
      <c r="L94" s="27"/>
      <c r="M94" s="27"/>
      <c r="N94" s="27"/>
    </row>
    <row r="95" customFormat="false" ht="15" hidden="false" customHeight="false" outlineLevel="0" collapsed="false">
      <c r="A95" s="19" t="str">
        <f aca="false">IF($B95="","",ROW()-91)</f>
        <v/>
      </c>
      <c r="B95" s="26"/>
      <c r="C95" s="27"/>
      <c r="D95" s="27"/>
      <c r="E95" s="28"/>
      <c r="F95" s="28"/>
      <c r="G95" s="27"/>
      <c r="H95" s="29"/>
      <c r="I95" s="30"/>
      <c r="J95" s="18" t="str">
        <f aca="false">IF($H95="","",$H95*$I95)</f>
        <v/>
      </c>
      <c r="K95" s="27"/>
      <c r="L95" s="27"/>
      <c r="M95" s="27"/>
      <c r="N95" s="27"/>
    </row>
    <row r="96" customFormat="false" ht="15" hidden="false" customHeight="false" outlineLevel="0" collapsed="false">
      <c r="A96" s="19" t="str">
        <f aca="false">IF($B96="","",ROW()-91)</f>
        <v/>
      </c>
      <c r="B96" s="26"/>
      <c r="C96" s="27"/>
      <c r="D96" s="27"/>
      <c r="E96" s="28"/>
      <c r="F96" s="28"/>
      <c r="G96" s="27"/>
      <c r="H96" s="29"/>
      <c r="I96" s="30"/>
      <c r="J96" s="18" t="str">
        <f aca="false">IF($H96="","",$H96*$I96)</f>
        <v/>
      </c>
      <c r="K96" s="27"/>
      <c r="L96" s="27"/>
      <c r="M96" s="27"/>
      <c r="N96" s="27"/>
    </row>
    <row r="97" customFormat="false" ht="15" hidden="false" customHeight="false" outlineLevel="0" collapsed="false">
      <c r="A97" s="19" t="str">
        <f aca="false">IF($B97="","",ROW()-91)</f>
        <v/>
      </c>
      <c r="B97" s="26"/>
      <c r="C97" s="27"/>
      <c r="D97" s="27"/>
      <c r="E97" s="28"/>
      <c r="F97" s="28"/>
      <c r="G97" s="27"/>
      <c r="H97" s="29"/>
      <c r="I97" s="30"/>
      <c r="J97" s="18" t="str">
        <f aca="false">IF($H97="","",$H97*$I97)</f>
        <v/>
      </c>
      <c r="K97" s="27"/>
      <c r="L97" s="27"/>
      <c r="M97" s="27"/>
      <c r="N97" s="27"/>
    </row>
    <row r="98" customFormat="false" ht="15" hidden="false" customHeight="false" outlineLevel="0" collapsed="false">
      <c r="A98" s="19" t="str">
        <f aca="false">IF($B98="","",ROW()-91)</f>
        <v/>
      </c>
      <c r="B98" s="26"/>
      <c r="C98" s="27"/>
      <c r="D98" s="27"/>
      <c r="E98" s="28"/>
      <c r="F98" s="28"/>
      <c r="G98" s="27"/>
      <c r="H98" s="29"/>
      <c r="I98" s="30"/>
      <c r="J98" s="18" t="str">
        <f aca="false">IF($H98="","",$H98*$I98)</f>
        <v/>
      </c>
      <c r="K98" s="27"/>
      <c r="L98" s="27"/>
      <c r="M98" s="27"/>
      <c r="N98" s="27"/>
    </row>
    <row r="99" customFormat="false" ht="15" hidden="false" customHeight="false" outlineLevel="0" collapsed="false">
      <c r="A99" s="19" t="str">
        <f aca="false">IF($B99="","",ROW()-91)</f>
        <v/>
      </c>
      <c r="B99" s="26"/>
      <c r="C99" s="27"/>
      <c r="D99" s="27"/>
      <c r="E99" s="28"/>
      <c r="F99" s="28"/>
      <c r="G99" s="27"/>
      <c r="H99" s="29"/>
      <c r="I99" s="30"/>
      <c r="J99" s="18" t="str">
        <f aca="false">IF($H99="","",$H99*$I99)</f>
        <v/>
      </c>
      <c r="K99" s="27"/>
      <c r="L99" s="27"/>
      <c r="M99" s="27"/>
      <c r="N99" s="27"/>
    </row>
    <row r="100" customFormat="false" ht="15" hidden="false" customHeight="false" outlineLevel="0" collapsed="false">
      <c r="A100" s="19" t="str">
        <f aca="false">IF($B100="","",ROW()-91)</f>
        <v/>
      </c>
      <c r="B100" s="26"/>
      <c r="C100" s="27"/>
      <c r="D100" s="27"/>
      <c r="E100" s="28"/>
      <c r="F100" s="28"/>
      <c r="G100" s="27"/>
      <c r="H100" s="29"/>
      <c r="I100" s="30"/>
      <c r="J100" s="18" t="str">
        <f aca="false">IF($H100="","",$H100*$I100)</f>
        <v/>
      </c>
      <c r="K100" s="27"/>
      <c r="L100" s="27"/>
      <c r="M100" s="27"/>
      <c r="N100" s="27"/>
    </row>
    <row r="101" customFormat="false" ht="15" hidden="false" customHeight="false" outlineLevel="0" collapsed="false">
      <c r="A101" s="19" t="str">
        <f aca="false">IF($B101="","",ROW()-91)</f>
        <v/>
      </c>
      <c r="B101" s="26"/>
      <c r="C101" s="27"/>
      <c r="D101" s="27"/>
      <c r="E101" s="28"/>
      <c r="F101" s="28"/>
      <c r="G101" s="27"/>
      <c r="H101" s="29"/>
      <c r="I101" s="30"/>
      <c r="J101" s="18" t="str">
        <f aca="false">IF($H101="","",$H101*$I101)</f>
        <v/>
      </c>
      <c r="K101" s="27"/>
      <c r="L101" s="27"/>
      <c r="M101" s="27"/>
      <c r="N101" s="27"/>
    </row>
    <row r="102" customFormat="false" ht="15" hidden="false" customHeight="false" outlineLevel="0" collapsed="false">
      <c r="A102" s="19" t="str">
        <f aca="false">IF($B102="","",ROW()-91)</f>
        <v/>
      </c>
      <c r="B102" s="26"/>
      <c r="C102" s="27"/>
      <c r="D102" s="27"/>
      <c r="E102" s="28"/>
      <c r="F102" s="28"/>
      <c r="G102" s="27"/>
      <c r="H102" s="29"/>
      <c r="I102" s="30"/>
      <c r="J102" s="18" t="str">
        <f aca="false">IF($H102="","",$H102*$I102)</f>
        <v/>
      </c>
      <c r="K102" s="27"/>
      <c r="L102" s="27"/>
      <c r="M102" s="27"/>
      <c r="N102" s="27"/>
    </row>
    <row r="103" customFormat="false" ht="15" hidden="false" customHeight="false" outlineLevel="0" collapsed="false">
      <c r="A103" s="19" t="str">
        <f aca="false">IF($B103="","",ROW()-91)</f>
        <v/>
      </c>
      <c r="B103" s="26"/>
      <c r="C103" s="27"/>
      <c r="D103" s="27"/>
      <c r="E103" s="28"/>
      <c r="F103" s="28"/>
      <c r="G103" s="27"/>
      <c r="H103" s="29"/>
      <c r="I103" s="30"/>
      <c r="J103" s="18" t="str">
        <f aca="false">IF($H103="","",$H103*$I103)</f>
        <v/>
      </c>
      <c r="K103" s="27"/>
      <c r="L103" s="27"/>
      <c r="M103" s="27"/>
      <c r="N103" s="27"/>
    </row>
    <row r="104" customFormat="false" ht="15" hidden="false" customHeight="false" outlineLevel="0" collapsed="false">
      <c r="A104" s="19" t="str">
        <f aca="false">IF($B104="","",ROW()-91)</f>
        <v/>
      </c>
      <c r="B104" s="26"/>
      <c r="C104" s="27"/>
      <c r="D104" s="27"/>
      <c r="E104" s="28"/>
      <c r="F104" s="28"/>
      <c r="G104" s="27"/>
      <c r="H104" s="29"/>
      <c r="I104" s="30"/>
      <c r="J104" s="18" t="str">
        <f aca="false">IF($H104="","",$H104*$I104)</f>
        <v/>
      </c>
      <c r="K104" s="27"/>
      <c r="L104" s="27"/>
      <c r="M104" s="27"/>
      <c r="N104" s="27"/>
    </row>
    <row r="105" customFormat="false" ht="15" hidden="false" customHeight="false" outlineLevel="0" collapsed="false">
      <c r="A105" s="19" t="str">
        <f aca="false">IF($B105="","",ROW()-91)</f>
        <v/>
      </c>
      <c r="B105" s="26"/>
      <c r="C105" s="27"/>
      <c r="D105" s="27"/>
      <c r="E105" s="28"/>
      <c r="F105" s="28"/>
      <c r="G105" s="27"/>
      <c r="H105" s="29"/>
      <c r="I105" s="30"/>
      <c r="J105" s="18" t="str">
        <f aca="false">IF($H105="","",$H105*$I105)</f>
        <v/>
      </c>
      <c r="K105" s="27"/>
      <c r="L105" s="27"/>
      <c r="M105" s="27"/>
      <c r="N105" s="27"/>
    </row>
    <row r="106" customFormat="false" ht="15" hidden="false" customHeight="false" outlineLevel="0" collapsed="false">
      <c r="A106" s="19" t="str">
        <f aca="false">IF($B106="","",ROW()-91)</f>
        <v/>
      </c>
      <c r="B106" s="26"/>
      <c r="C106" s="27"/>
      <c r="D106" s="27"/>
      <c r="E106" s="28"/>
      <c r="F106" s="28"/>
      <c r="G106" s="27"/>
      <c r="H106" s="29"/>
      <c r="I106" s="30"/>
      <c r="J106" s="18" t="str">
        <f aca="false">IF($H106="","",$H106*$I106)</f>
        <v/>
      </c>
      <c r="K106" s="27"/>
      <c r="L106" s="27"/>
      <c r="M106" s="27"/>
      <c r="N106" s="27"/>
    </row>
    <row r="107" customFormat="false" ht="15" hidden="false" customHeight="false" outlineLevel="0" collapsed="false">
      <c r="A107" s="19" t="str">
        <f aca="false">IF($B107="","",ROW()-91)</f>
        <v/>
      </c>
      <c r="B107" s="26"/>
      <c r="C107" s="27"/>
      <c r="D107" s="27"/>
      <c r="E107" s="28"/>
      <c r="F107" s="28"/>
      <c r="G107" s="27"/>
      <c r="H107" s="29"/>
      <c r="I107" s="30"/>
      <c r="J107" s="18" t="str">
        <f aca="false">IF($H107="","",$H107*$I107)</f>
        <v/>
      </c>
      <c r="K107" s="27"/>
      <c r="L107" s="27"/>
      <c r="M107" s="27"/>
      <c r="N107" s="27"/>
    </row>
    <row r="108" customFormat="false" ht="15" hidden="false" customHeight="false" outlineLevel="0" collapsed="false">
      <c r="A108" s="19" t="str">
        <f aca="false">IF($B108="","",ROW()-91)</f>
        <v/>
      </c>
      <c r="B108" s="26"/>
      <c r="C108" s="27"/>
      <c r="D108" s="27"/>
      <c r="E108" s="28"/>
      <c r="F108" s="28"/>
      <c r="G108" s="27"/>
      <c r="H108" s="29"/>
      <c r="I108" s="30"/>
      <c r="J108" s="18" t="str">
        <f aca="false">IF($H108="","",$H108*$I108)</f>
        <v/>
      </c>
      <c r="K108" s="27"/>
      <c r="L108" s="27"/>
      <c r="M108" s="27"/>
      <c r="N108" s="27"/>
    </row>
    <row r="109" customFormat="false" ht="15" hidden="false" customHeight="false" outlineLevel="0" collapsed="false">
      <c r="A109" s="19" t="str">
        <f aca="false">IF($B109="","",ROW()-91)</f>
        <v/>
      </c>
      <c r="B109" s="26"/>
      <c r="C109" s="27"/>
      <c r="D109" s="27"/>
      <c r="E109" s="28"/>
      <c r="F109" s="28"/>
      <c r="G109" s="27"/>
      <c r="H109" s="29"/>
      <c r="I109" s="30"/>
      <c r="J109" s="18" t="str">
        <f aca="false">IF($H109="","",$H109*$I109)</f>
        <v/>
      </c>
      <c r="K109" s="27"/>
      <c r="L109" s="27"/>
      <c r="M109" s="27"/>
      <c r="N109" s="27"/>
    </row>
    <row r="110" customFormat="false" ht="15" hidden="false" customHeight="false" outlineLevel="0" collapsed="false">
      <c r="A110" s="19" t="str">
        <f aca="false">IF($B110="","",ROW()-91)</f>
        <v/>
      </c>
      <c r="B110" s="26"/>
      <c r="C110" s="27"/>
      <c r="D110" s="27"/>
      <c r="E110" s="28"/>
      <c r="F110" s="28"/>
      <c r="G110" s="27"/>
      <c r="H110" s="29"/>
      <c r="I110" s="30"/>
      <c r="J110" s="18" t="str">
        <f aca="false">IF($H110="","",$H110*$I110)</f>
        <v/>
      </c>
      <c r="K110" s="27"/>
      <c r="L110" s="27"/>
      <c r="M110" s="27"/>
      <c r="N110" s="27"/>
    </row>
    <row r="111" customFormat="false" ht="15" hidden="false" customHeight="false" outlineLevel="0" collapsed="false">
      <c r="A111" s="19" t="str">
        <f aca="false">IF($B111="","",ROW()-91)</f>
        <v/>
      </c>
      <c r="B111" s="26"/>
      <c r="C111" s="27"/>
      <c r="D111" s="27"/>
      <c r="E111" s="28"/>
      <c r="F111" s="28"/>
      <c r="G111" s="27"/>
      <c r="H111" s="29"/>
      <c r="I111" s="30"/>
      <c r="J111" s="18" t="str">
        <f aca="false">IF($H111="","",$H111*$I111)</f>
        <v/>
      </c>
      <c r="K111" s="27"/>
      <c r="L111" s="27"/>
      <c r="M111" s="27"/>
      <c r="N111" s="27"/>
    </row>
    <row r="112" customFormat="false" ht="15" hidden="false" customHeight="false" outlineLevel="0" collapsed="false">
      <c r="A112" s="19" t="str">
        <f aca="false">IF($B112="","",ROW()-91)</f>
        <v/>
      </c>
      <c r="B112" s="26"/>
      <c r="C112" s="27"/>
      <c r="D112" s="27"/>
      <c r="E112" s="28"/>
      <c r="F112" s="28"/>
      <c r="G112" s="27"/>
      <c r="H112" s="29"/>
      <c r="I112" s="30"/>
      <c r="J112" s="18" t="str">
        <f aca="false">IF($H112="","",$H112*$I112)</f>
        <v/>
      </c>
      <c r="K112" s="27"/>
      <c r="L112" s="27"/>
      <c r="M112" s="27"/>
      <c r="N112" s="27"/>
    </row>
    <row r="113" customFormat="false" ht="15" hidden="false" customHeight="false" outlineLevel="0" collapsed="false">
      <c r="A113" s="19" t="str">
        <f aca="false">IF($B113="","",ROW()-91)</f>
        <v/>
      </c>
      <c r="B113" s="26"/>
      <c r="C113" s="27"/>
      <c r="D113" s="27"/>
      <c r="E113" s="28"/>
      <c r="F113" s="28"/>
      <c r="G113" s="27"/>
      <c r="H113" s="29"/>
      <c r="I113" s="30"/>
      <c r="J113" s="18" t="str">
        <f aca="false">IF($H113="","",$H113*$I113)</f>
        <v/>
      </c>
      <c r="K113" s="27"/>
      <c r="L113" s="27"/>
      <c r="M113" s="27"/>
      <c r="N113" s="27"/>
    </row>
    <row r="114" customFormat="false" ht="15" hidden="false" customHeight="false" outlineLevel="0" collapsed="false">
      <c r="A114" s="19" t="str">
        <f aca="false">IF($B114="","",ROW()-91)</f>
        <v/>
      </c>
      <c r="B114" s="26"/>
      <c r="C114" s="27"/>
      <c r="D114" s="27"/>
      <c r="E114" s="28"/>
      <c r="F114" s="28"/>
      <c r="G114" s="27"/>
      <c r="H114" s="29"/>
      <c r="I114" s="30"/>
      <c r="J114" s="18" t="str">
        <f aca="false">IF($H114="","",$H114*$I114)</f>
        <v/>
      </c>
      <c r="K114" s="27"/>
      <c r="L114" s="27"/>
      <c r="M114" s="27"/>
      <c r="N114" s="27"/>
    </row>
    <row r="115" customFormat="false" ht="15" hidden="false" customHeight="false" outlineLevel="0" collapsed="false">
      <c r="A115" s="19" t="str">
        <f aca="false">IF($B115="","",ROW()-91)</f>
        <v/>
      </c>
      <c r="B115" s="26"/>
      <c r="C115" s="27"/>
      <c r="D115" s="27"/>
      <c r="E115" s="28"/>
      <c r="F115" s="28"/>
      <c r="G115" s="27"/>
      <c r="H115" s="29"/>
      <c r="I115" s="30"/>
      <c r="J115" s="18" t="str">
        <f aca="false">IF($H115="","",$H115*$I115)</f>
        <v/>
      </c>
      <c r="K115" s="27"/>
      <c r="L115" s="27"/>
      <c r="M115" s="27"/>
      <c r="N115" s="27"/>
    </row>
    <row r="116" customFormat="false" ht="15" hidden="false" customHeight="false" outlineLevel="0" collapsed="false">
      <c r="A116" s="19" t="str">
        <f aca="false">IF($B116="","",ROW()-91)</f>
        <v/>
      </c>
      <c r="B116" s="26"/>
      <c r="C116" s="27"/>
      <c r="D116" s="27"/>
      <c r="E116" s="28"/>
      <c r="F116" s="28"/>
      <c r="G116" s="27"/>
      <c r="H116" s="29"/>
      <c r="I116" s="30"/>
      <c r="J116" s="18" t="str">
        <f aca="false">IF($H116="","",$H116*$I116)</f>
        <v/>
      </c>
      <c r="K116" s="27"/>
      <c r="L116" s="27"/>
      <c r="M116" s="27"/>
      <c r="N116" s="27"/>
    </row>
    <row r="117" customFormat="false" ht="15" hidden="false" customHeight="false" outlineLevel="0" collapsed="false">
      <c r="A117" s="19" t="str">
        <f aca="false">IF($B117="","",ROW()-91)</f>
        <v/>
      </c>
      <c r="B117" s="26"/>
      <c r="C117" s="27"/>
      <c r="D117" s="27"/>
      <c r="E117" s="28"/>
      <c r="F117" s="28"/>
      <c r="G117" s="27"/>
      <c r="H117" s="29"/>
      <c r="I117" s="30"/>
      <c r="J117" s="18" t="str">
        <f aca="false">IF($H117="","",$H117*$I117)</f>
        <v/>
      </c>
      <c r="K117" s="27"/>
      <c r="L117" s="27"/>
      <c r="M117" s="27"/>
      <c r="N117" s="27"/>
    </row>
    <row r="118" customFormat="false" ht="15" hidden="false" customHeight="false" outlineLevel="0" collapsed="false">
      <c r="A118" s="19" t="str">
        <f aca="false">IF($B118="","",ROW()-91)</f>
        <v/>
      </c>
      <c r="B118" s="26"/>
      <c r="C118" s="27"/>
      <c r="D118" s="27"/>
      <c r="E118" s="28"/>
      <c r="F118" s="28"/>
      <c r="G118" s="27"/>
      <c r="H118" s="29"/>
      <c r="I118" s="30"/>
      <c r="J118" s="18" t="str">
        <f aca="false">IF($H118="","",$H118*$I118)</f>
        <v/>
      </c>
      <c r="K118" s="27"/>
      <c r="L118" s="27"/>
      <c r="M118" s="27"/>
      <c r="N118" s="27"/>
    </row>
    <row r="119" customFormat="false" ht="15" hidden="false" customHeight="false" outlineLevel="0" collapsed="false">
      <c r="A119" s="19" t="str">
        <f aca="false">IF($B119="","",ROW()-91)</f>
        <v/>
      </c>
      <c r="B119" s="26"/>
      <c r="C119" s="27"/>
      <c r="D119" s="27"/>
      <c r="E119" s="28"/>
      <c r="F119" s="28"/>
      <c r="G119" s="27"/>
      <c r="H119" s="29"/>
      <c r="I119" s="30"/>
      <c r="J119" s="18" t="str">
        <f aca="false">IF($H119="","",$H119*$I119)</f>
        <v/>
      </c>
      <c r="K119" s="27"/>
      <c r="L119" s="27"/>
      <c r="M119" s="27"/>
      <c r="N119" s="27"/>
    </row>
    <row r="120" customFormat="false" ht="15" hidden="false" customHeight="false" outlineLevel="0" collapsed="false">
      <c r="A120" s="19" t="str">
        <f aca="false">IF($B120="","",ROW()-91)</f>
        <v/>
      </c>
      <c r="B120" s="26"/>
      <c r="C120" s="27"/>
      <c r="D120" s="27"/>
      <c r="E120" s="28"/>
      <c r="F120" s="28"/>
      <c r="G120" s="27"/>
      <c r="H120" s="29"/>
      <c r="I120" s="30"/>
      <c r="J120" s="18" t="str">
        <f aca="false">IF($H120="","",$H120*$I120)</f>
        <v/>
      </c>
      <c r="K120" s="27"/>
      <c r="L120" s="27"/>
      <c r="M120" s="27"/>
      <c r="N120" s="27"/>
    </row>
    <row r="121" customFormat="false" ht="15" hidden="false" customHeight="false" outlineLevel="0" collapsed="false">
      <c r="A121" s="19" t="str">
        <f aca="false">IF($B121="","",ROW()-91)</f>
        <v/>
      </c>
      <c r="B121" s="26"/>
      <c r="C121" s="27"/>
      <c r="D121" s="27"/>
      <c r="E121" s="28"/>
      <c r="F121" s="28"/>
      <c r="G121" s="27"/>
      <c r="H121" s="29"/>
      <c r="I121" s="30"/>
      <c r="J121" s="18" t="str">
        <f aca="false">IF($H121="","",$H121*$I121)</f>
        <v/>
      </c>
      <c r="K121" s="27"/>
      <c r="L121" s="27"/>
      <c r="M121" s="27"/>
      <c r="N121" s="27"/>
    </row>
    <row r="122" customFormat="false" ht="15" hidden="false" customHeight="false" outlineLevel="0" collapsed="false">
      <c r="A122" s="19" t="str">
        <f aca="false">IF($B122="","",ROW()-91)</f>
        <v/>
      </c>
      <c r="B122" s="26"/>
      <c r="C122" s="27"/>
      <c r="D122" s="27"/>
      <c r="E122" s="28"/>
      <c r="F122" s="28"/>
      <c r="G122" s="27"/>
      <c r="H122" s="29"/>
      <c r="I122" s="30"/>
      <c r="J122" s="18" t="str">
        <f aca="false">IF($H122="","",$H122*$I122)</f>
        <v/>
      </c>
      <c r="K122" s="27"/>
      <c r="L122" s="27"/>
      <c r="M122" s="27"/>
      <c r="N122" s="27"/>
    </row>
    <row r="123" customFormat="false" ht="15" hidden="false" customHeight="false" outlineLevel="0" collapsed="false">
      <c r="A123" s="19" t="str">
        <f aca="false">IF($B123="","",ROW()-91)</f>
        <v/>
      </c>
      <c r="B123" s="26"/>
      <c r="C123" s="27"/>
      <c r="D123" s="27"/>
      <c r="E123" s="28"/>
      <c r="F123" s="28"/>
      <c r="G123" s="27"/>
      <c r="H123" s="29"/>
      <c r="I123" s="30"/>
      <c r="J123" s="18" t="str">
        <f aca="false">IF($H123="","",$H123*$I123)</f>
        <v/>
      </c>
      <c r="K123" s="27"/>
      <c r="L123" s="27"/>
      <c r="M123" s="27"/>
      <c r="N123" s="27"/>
    </row>
    <row r="124" customFormat="false" ht="15" hidden="false" customHeight="false" outlineLevel="0" collapsed="false">
      <c r="A124" s="19" t="str">
        <f aca="false">IF($B124="","",ROW()-91)</f>
        <v/>
      </c>
      <c r="B124" s="26"/>
      <c r="C124" s="27"/>
      <c r="D124" s="27"/>
      <c r="E124" s="28"/>
      <c r="F124" s="28"/>
      <c r="G124" s="27"/>
      <c r="H124" s="29"/>
      <c r="I124" s="30"/>
      <c r="J124" s="18" t="str">
        <f aca="false">IF($H124="","",$H124*$I124)</f>
        <v/>
      </c>
      <c r="K124" s="27"/>
      <c r="L124" s="27"/>
      <c r="M124" s="27"/>
      <c r="N124" s="27"/>
    </row>
    <row r="125" customFormat="false" ht="15" hidden="false" customHeight="false" outlineLevel="0" collapsed="false">
      <c r="A125" s="19" t="str">
        <f aca="false">IF($B125="","",ROW()-91)</f>
        <v/>
      </c>
      <c r="B125" s="26"/>
      <c r="C125" s="27"/>
      <c r="D125" s="27"/>
      <c r="E125" s="28"/>
      <c r="F125" s="28"/>
      <c r="G125" s="27"/>
      <c r="H125" s="29"/>
      <c r="I125" s="30"/>
      <c r="J125" s="18" t="str">
        <f aca="false">IF($H125="","",$H125*$I125)</f>
        <v/>
      </c>
      <c r="K125" s="27"/>
      <c r="L125" s="27"/>
      <c r="M125" s="27"/>
      <c r="N125" s="27"/>
    </row>
    <row r="126" customFormat="false" ht="15" hidden="false" customHeight="false" outlineLevel="0" collapsed="false">
      <c r="A126" s="19" t="str">
        <f aca="false">IF($B126="","",ROW()-91)</f>
        <v/>
      </c>
      <c r="B126" s="26"/>
      <c r="C126" s="27"/>
      <c r="D126" s="27"/>
      <c r="E126" s="28"/>
      <c r="F126" s="28"/>
      <c r="G126" s="27"/>
      <c r="H126" s="29"/>
      <c r="I126" s="30"/>
      <c r="J126" s="18" t="str">
        <f aca="false">IF($H126="","",$H126*$I126)</f>
        <v/>
      </c>
      <c r="K126" s="27"/>
      <c r="L126" s="27"/>
      <c r="M126" s="27"/>
      <c r="N126" s="27"/>
    </row>
    <row r="127" customFormat="false" ht="15" hidden="false" customHeight="false" outlineLevel="0" collapsed="false">
      <c r="A127" s="19" t="str">
        <f aca="false">IF($B127="","",ROW()-91)</f>
        <v/>
      </c>
      <c r="B127" s="26"/>
      <c r="C127" s="27"/>
      <c r="D127" s="27"/>
      <c r="E127" s="28"/>
      <c r="F127" s="28"/>
      <c r="G127" s="27"/>
      <c r="H127" s="29"/>
      <c r="I127" s="30"/>
      <c r="J127" s="18" t="str">
        <f aca="false">IF($H127="","",$H127*$I127)</f>
        <v/>
      </c>
      <c r="K127" s="27"/>
      <c r="L127" s="27"/>
      <c r="M127" s="27"/>
      <c r="N127" s="27"/>
    </row>
    <row r="128" customFormat="false" ht="15" hidden="false" customHeight="false" outlineLevel="0" collapsed="false">
      <c r="A128" s="19" t="str">
        <f aca="false">IF($B128="","",ROW()-91)</f>
        <v/>
      </c>
      <c r="B128" s="26"/>
      <c r="C128" s="27"/>
      <c r="D128" s="27"/>
      <c r="E128" s="28"/>
      <c r="F128" s="28"/>
      <c r="G128" s="27"/>
      <c r="H128" s="29"/>
      <c r="I128" s="30"/>
      <c r="J128" s="18" t="str">
        <f aca="false">IF($H128="","",$H128*$I128)</f>
        <v/>
      </c>
      <c r="K128" s="27"/>
      <c r="L128" s="27"/>
      <c r="M128" s="27"/>
      <c r="N128" s="27"/>
    </row>
    <row r="129" customFormat="false" ht="15" hidden="false" customHeight="false" outlineLevel="0" collapsed="false">
      <c r="A129" s="19" t="str">
        <f aca="false">IF($B129="","",ROW()-91)</f>
        <v/>
      </c>
      <c r="B129" s="26"/>
      <c r="C129" s="27"/>
      <c r="D129" s="27"/>
      <c r="E129" s="28"/>
      <c r="F129" s="28"/>
      <c r="G129" s="27"/>
      <c r="H129" s="29"/>
      <c r="I129" s="30"/>
      <c r="J129" s="18" t="str">
        <f aca="false">IF($H129="","",$H129*$I129)</f>
        <v/>
      </c>
      <c r="K129" s="27"/>
      <c r="L129" s="27"/>
      <c r="M129" s="27"/>
      <c r="N129" s="27"/>
    </row>
    <row r="130" customFormat="false" ht="15" hidden="false" customHeight="false" outlineLevel="0" collapsed="false">
      <c r="A130" s="19" t="str">
        <f aca="false">IF($B130="","",ROW()-91)</f>
        <v/>
      </c>
      <c r="B130" s="26"/>
      <c r="C130" s="27"/>
      <c r="D130" s="27"/>
      <c r="E130" s="28"/>
      <c r="F130" s="28"/>
      <c r="G130" s="27"/>
      <c r="H130" s="29"/>
      <c r="I130" s="30"/>
      <c r="J130" s="18" t="str">
        <f aca="false">IF($H130="","",$H130*$I130)</f>
        <v/>
      </c>
      <c r="K130" s="27"/>
      <c r="L130" s="27"/>
      <c r="M130" s="27"/>
      <c r="N130" s="27"/>
    </row>
    <row r="131" customFormat="false" ht="15" hidden="false" customHeight="false" outlineLevel="0" collapsed="false">
      <c r="A131" s="19" t="str">
        <f aca="false">IF($B131="","",ROW()-91)</f>
        <v/>
      </c>
      <c r="B131" s="26"/>
      <c r="C131" s="27"/>
      <c r="D131" s="27"/>
      <c r="E131" s="28"/>
      <c r="F131" s="28"/>
      <c r="G131" s="27"/>
      <c r="H131" s="29"/>
      <c r="I131" s="30"/>
      <c r="J131" s="18" t="str">
        <f aca="false">IF($H131="","",$H131*$I131)</f>
        <v/>
      </c>
      <c r="K131" s="27"/>
      <c r="L131" s="27"/>
      <c r="M131" s="27"/>
      <c r="N131" s="27"/>
    </row>
    <row r="132" customFormat="false" ht="15" hidden="false" customHeight="false" outlineLevel="0" collapsed="false">
      <c r="A132" s="19" t="str">
        <f aca="false">IF($B132="","",ROW()-91)</f>
        <v/>
      </c>
      <c r="B132" s="26"/>
      <c r="C132" s="27"/>
      <c r="D132" s="27"/>
      <c r="E132" s="28"/>
      <c r="F132" s="28"/>
      <c r="G132" s="27"/>
      <c r="H132" s="29"/>
      <c r="I132" s="30"/>
      <c r="J132" s="18" t="str">
        <f aca="false">IF($H132="","",$H132*$I132)</f>
        <v/>
      </c>
      <c r="K132" s="27"/>
      <c r="L132" s="27"/>
      <c r="M132" s="27"/>
      <c r="N132" s="27"/>
    </row>
    <row r="133" customFormat="false" ht="15" hidden="false" customHeight="false" outlineLevel="0" collapsed="false">
      <c r="A133" s="19" t="str">
        <f aca="false">IF($B133="","",ROW()-91)</f>
        <v/>
      </c>
      <c r="B133" s="26"/>
      <c r="C133" s="27"/>
      <c r="D133" s="27"/>
      <c r="E133" s="28"/>
      <c r="F133" s="28"/>
      <c r="G133" s="27"/>
      <c r="H133" s="29"/>
      <c r="I133" s="30"/>
      <c r="J133" s="18" t="str">
        <f aca="false">IF($H133="","",$H133*$I133)</f>
        <v/>
      </c>
      <c r="K133" s="27"/>
      <c r="L133" s="27"/>
      <c r="M133" s="27"/>
      <c r="N133" s="27"/>
    </row>
    <row r="134" customFormat="false" ht="15" hidden="false" customHeight="false" outlineLevel="0" collapsed="false">
      <c r="A134" s="19" t="str">
        <f aca="false">IF($B134="","",ROW()-91)</f>
        <v/>
      </c>
      <c r="B134" s="26"/>
      <c r="C134" s="27"/>
      <c r="D134" s="27"/>
      <c r="E134" s="28"/>
      <c r="F134" s="28"/>
      <c r="G134" s="27"/>
      <c r="H134" s="29"/>
      <c r="I134" s="30"/>
      <c r="J134" s="18" t="str">
        <f aca="false">IF($H134="","",$H134*$I134)</f>
        <v/>
      </c>
      <c r="K134" s="27"/>
      <c r="L134" s="27"/>
      <c r="M134" s="27"/>
      <c r="N134" s="27"/>
    </row>
    <row r="135" customFormat="false" ht="15" hidden="false" customHeight="false" outlineLevel="0" collapsed="false">
      <c r="A135" s="19" t="str">
        <f aca="false">IF($B135="","",ROW()-91)</f>
        <v/>
      </c>
      <c r="B135" s="26"/>
      <c r="C135" s="27"/>
      <c r="D135" s="27"/>
      <c r="E135" s="28"/>
      <c r="F135" s="28"/>
      <c r="G135" s="27"/>
      <c r="H135" s="29"/>
      <c r="I135" s="30"/>
      <c r="J135" s="18" t="str">
        <f aca="false">IF($H135="","",$H135*$I135)</f>
        <v/>
      </c>
      <c r="K135" s="27"/>
      <c r="L135" s="27"/>
      <c r="M135" s="27"/>
      <c r="N135" s="27"/>
    </row>
    <row r="136" customFormat="false" ht="15" hidden="false" customHeight="false" outlineLevel="0" collapsed="false">
      <c r="A136" s="19" t="str">
        <f aca="false">IF($B136="","",ROW()-91)</f>
        <v/>
      </c>
      <c r="B136" s="26"/>
      <c r="C136" s="27"/>
      <c r="D136" s="27"/>
      <c r="E136" s="28"/>
      <c r="F136" s="28"/>
      <c r="G136" s="27"/>
      <c r="H136" s="29"/>
      <c r="I136" s="30"/>
      <c r="J136" s="18" t="str">
        <f aca="false">IF($H136="","",$H136*$I136)</f>
        <v/>
      </c>
      <c r="K136" s="27"/>
      <c r="L136" s="27"/>
      <c r="M136" s="27"/>
      <c r="N136" s="27"/>
    </row>
    <row r="137" customFormat="false" ht="15" hidden="false" customHeight="false" outlineLevel="0" collapsed="false">
      <c r="A137" s="19" t="str">
        <f aca="false">IF($B137="","",ROW()-91)</f>
        <v/>
      </c>
      <c r="B137" s="26"/>
      <c r="C137" s="27"/>
      <c r="D137" s="27"/>
      <c r="E137" s="28"/>
      <c r="F137" s="28"/>
      <c r="G137" s="27"/>
      <c r="H137" s="29"/>
      <c r="I137" s="30"/>
      <c r="J137" s="18" t="str">
        <f aca="false">IF($H137="","",$H137*$I137)</f>
        <v/>
      </c>
      <c r="K137" s="27"/>
      <c r="L137" s="27"/>
      <c r="M137" s="27"/>
      <c r="N137" s="27"/>
    </row>
    <row r="138" customFormat="false" ht="15" hidden="false" customHeight="false" outlineLevel="0" collapsed="false">
      <c r="A138" s="19" t="str">
        <f aca="false">IF($B138="","",ROW()-91)</f>
        <v/>
      </c>
      <c r="B138" s="26"/>
      <c r="C138" s="27"/>
      <c r="D138" s="27"/>
      <c r="E138" s="28"/>
      <c r="F138" s="28"/>
      <c r="G138" s="27"/>
      <c r="H138" s="29"/>
      <c r="I138" s="30"/>
      <c r="J138" s="18" t="str">
        <f aca="false">IF($H138="","",$H138*$I138)</f>
        <v/>
      </c>
      <c r="K138" s="27"/>
      <c r="L138" s="27"/>
      <c r="M138" s="27"/>
      <c r="N138" s="27"/>
    </row>
    <row r="139" customFormat="false" ht="15" hidden="false" customHeight="false" outlineLevel="0" collapsed="false">
      <c r="A139" s="19" t="str">
        <f aca="false">IF($B139="","",ROW()-91)</f>
        <v/>
      </c>
      <c r="B139" s="26"/>
      <c r="C139" s="27"/>
      <c r="D139" s="27"/>
      <c r="E139" s="28"/>
      <c r="F139" s="28"/>
      <c r="G139" s="27"/>
      <c r="H139" s="29"/>
      <c r="I139" s="30"/>
      <c r="J139" s="18" t="str">
        <f aca="false">IF($H139="","",$H139*$I139)</f>
        <v/>
      </c>
      <c r="K139" s="27"/>
      <c r="L139" s="27"/>
      <c r="M139" s="27"/>
      <c r="N139" s="27"/>
    </row>
    <row r="140" customFormat="false" ht="15" hidden="false" customHeight="false" outlineLevel="0" collapsed="false">
      <c r="A140" s="19" t="str">
        <f aca="false">IF($B140="","",ROW()-91)</f>
        <v/>
      </c>
      <c r="B140" s="26"/>
      <c r="C140" s="27"/>
      <c r="D140" s="27"/>
      <c r="E140" s="28"/>
      <c r="F140" s="28"/>
      <c r="G140" s="27"/>
      <c r="H140" s="29"/>
      <c r="I140" s="30"/>
      <c r="J140" s="18" t="str">
        <f aca="false">IF($H140="","",$H140*$I140)</f>
        <v/>
      </c>
      <c r="K140" s="27"/>
      <c r="L140" s="27"/>
      <c r="M140" s="27"/>
      <c r="N140" s="27"/>
    </row>
    <row r="141" customFormat="false" ht="15" hidden="false" customHeight="false" outlineLevel="0" collapsed="false">
      <c r="A141" s="19" t="str">
        <f aca="false">IF($B141="","",ROW()-91)</f>
        <v/>
      </c>
      <c r="B141" s="26"/>
      <c r="C141" s="27"/>
      <c r="D141" s="27"/>
      <c r="E141" s="28"/>
      <c r="F141" s="28"/>
      <c r="G141" s="27"/>
      <c r="H141" s="29"/>
      <c r="I141" s="30"/>
      <c r="J141" s="18" t="str">
        <f aca="false">IF($H141="","",$H141*$I141)</f>
        <v/>
      </c>
      <c r="K141" s="27"/>
      <c r="L141" s="27"/>
      <c r="M141" s="27"/>
      <c r="N141" s="27"/>
    </row>
    <row r="142" customFormat="false" ht="15" hidden="false" customHeight="false" outlineLevel="0" collapsed="false">
      <c r="A142" s="19" t="str">
        <f aca="false">IF($B142="","",ROW()-91)</f>
        <v/>
      </c>
      <c r="B142" s="26"/>
      <c r="C142" s="27"/>
      <c r="D142" s="27"/>
      <c r="E142" s="28"/>
      <c r="F142" s="28"/>
      <c r="G142" s="27"/>
      <c r="H142" s="29"/>
      <c r="I142" s="30"/>
      <c r="J142" s="18" t="str">
        <f aca="false">IF($H142="","",$H142*$I142)</f>
        <v/>
      </c>
      <c r="K142" s="27"/>
      <c r="L142" s="27"/>
      <c r="M142" s="27"/>
      <c r="N142" s="27"/>
    </row>
    <row r="143" customFormat="false" ht="15" hidden="false" customHeight="false" outlineLevel="0" collapsed="false">
      <c r="A143" s="19" t="str">
        <f aca="false">IF($B143="","",ROW()-91)</f>
        <v/>
      </c>
      <c r="B143" s="26"/>
      <c r="C143" s="27"/>
      <c r="D143" s="27"/>
      <c r="E143" s="28"/>
      <c r="F143" s="28"/>
      <c r="G143" s="27"/>
      <c r="H143" s="29"/>
      <c r="I143" s="30"/>
      <c r="J143" s="18" t="str">
        <f aca="false">IF($H143="","",$H143*$I143)</f>
        <v/>
      </c>
      <c r="K143" s="27"/>
      <c r="L143" s="27"/>
      <c r="M143" s="27"/>
      <c r="N143" s="27"/>
    </row>
    <row r="144" customFormat="false" ht="15" hidden="false" customHeight="false" outlineLevel="0" collapsed="false">
      <c r="A144" s="19" t="str">
        <f aca="false">IF($B144="","",ROW()-91)</f>
        <v/>
      </c>
      <c r="B144" s="26"/>
      <c r="C144" s="27"/>
      <c r="D144" s="27"/>
      <c r="E144" s="28"/>
      <c r="F144" s="28"/>
      <c r="G144" s="27"/>
      <c r="H144" s="29"/>
      <c r="I144" s="30"/>
      <c r="J144" s="18" t="str">
        <f aca="false">IF($H144="","",$H144*$I144)</f>
        <v/>
      </c>
      <c r="K144" s="27"/>
      <c r="L144" s="27"/>
      <c r="M144" s="27"/>
      <c r="N144" s="27"/>
    </row>
    <row r="145" customFormat="false" ht="15" hidden="false" customHeight="false" outlineLevel="0" collapsed="false">
      <c r="A145" s="19" t="str">
        <f aca="false">IF($B145="","",ROW()-91)</f>
        <v/>
      </c>
      <c r="B145" s="26"/>
      <c r="C145" s="27"/>
      <c r="D145" s="27"/>
      <c r="E145" s="28"/>
      <c r="F145" s="28"/>
      <c r="G145" s="27"/>
      <c r="H145" s="29"/>
      <c r="I145" s="30"/>
      <c r="J145" s="18" t="str">
        <f aca="false">IF($H145="","",$H145*$I145)</f>
        <v/>
      </c>
      <c r="K145" s="27"/>
      <c r="L145" s="27"/>
      <c r="M145" s="27"/>
      <c r="N145" s="27"/>
    </row>
    <row r="146" customFormat="false" ht="15" hidden="false" customHeight="false" outlineLevel="0" collapsed="false">
      <c r="A146" s="19" t="str">
        <f aca="false">IF($B146="","",ROW()-91)</f>
        <v/>
      </c>
      <c r="B146" s="26"/>
      <c r="C146" s="27"/>
      <c r="D146" s="27"/>
      <c r="E146" s="28"/>
      <c r="F146" s="28"/>
      <c r="G146" s="27"/>
      <c r="H146" s="29"/>
      <c r="I146" s="30"/>
      <c r="J146" s="18" t="str">
        <f aca="false">IF($H146="","",$H146*$I146)</f>
        <v/>
      </c>
      <c r="K146" s="27"/>
      <c r="L146" s="27"/>
      <c r="M146" s="27"/>
      <c r="N146" s="27"/>
    </row>
    <row r="147" customFormat="false" ht="15" hidden="false" customHeight="false" outlineLevel="0" collapsed="false">
      <c r="A147" s="19" t="str">
        <f aca="false">IF($B147="","",ROW()-91)</f>
        <v/>
      </c>
      <c r="B147" s="26"/>
      <c r="C147" s="27"/>
      <c r="D147" s="27"/>
      <c r="E147" s="28"/>
      <c r="F147" s="28"/>
      <c r="G147" s="27"/>
      <c r="H147" s="29"/>
      <c r="I147" s="30"/>
      <c r="J147" s="18" t="str">
        <f aca="false">IF($H147="","",$H147*$I147)</f>
        <v/>
      </c>
      <c r="K147" s="27"/>
      <c r="L147" s="27"/>
      <c r="M147" s="27"/>
      <c r="N147" s="27"/>
    </row>
    <row r="148" customFormat="false" ht="15" hidden="false" customHeight="false" outlineLevel="0" collapsed="false">
      <c r="A148" s="19" t="str">
        <f aca="false">IF($B148="","",ROW()-91)</f>
        <v/>
      </c>
      <c r="B148" s="26"/>
      <c r="C148" s="27"/>
      <c r="D148" s="27"/>
      <c r="E148" s="28"/>
      <c r="F148" s="28"/>
      <c r="G148" s="27"/>
      <c r="H148" s="29"/>
      <c r="I148" s="30"/>
      <c r="J148" s="18" t="str">
        <f aca="false">IF($H148="","",$H148*$I148)</f>
        <v/>
      </c>
      <c r="K148" s="27"/>
      <c r="L148" s="27"/>
      <c r="M148" s="27"/>
      <c r="N148" s="27"/>
    </row>
    <row r="149" customFormat="false" ht="15" hidden="false" customHeight="false" outlineLevel="0" collapsed="false">
      <c r="A149" s="19" t="str">
        <f aca="false">IF($B149="","",ROW()-91)</f>
        <v/>
      </c>
      <c r="B149" s="26"/>
      <c r="C149" s="27"/>
      <c r="D149" s="27"/>
      <c r="E149" s="28"/>
      <c r="F149" s="28"/>
      <c r="G149" s="27"/>
      <c r="H149" s="29"/>
      <c r="I149" s="30"/>
      <c r="J149" s="18" t="str">
        <f aca="false">IF($H149="","",$H149*$I149)</f>
        <v/>
      </c>
      <c r="K149" s="27"/>
      <c r="L149" s="27"/>
      <c r="M149" s="27"/>
      <c r="N149" s="27"/>
    </row>
    <row r="150" customFormat="false" ht="15" hidden="false" customHeight="false" outlineLevel="0" collapsed="false">
      <c r="A150" s="19" t="str">
        <f aca="false">IF($B150="","",ROW()-91)</f>
        <v/>
      </c>
      <c r="B150" s="26"/>
      <c r="C150" s="27"/>
      <c r="D150" s="27"/>
      <c r="E150" s="28"/>
      <c r="F150" s="28"/>
      <c r="G150" s="27"/>
      <c r="H150" s="29"/>
      <c r="I150" s="30"/>
      <c r="J150" s="18" t="str">
        <f aca="false">IF($H150="","",$H150*$I150)</f>
        <v/>
      </c>
      <c r="K150" s="27"/>
      <c r="L150" s="27"/>
      <c r="M150" s="27"/>
      <c r="N150" s="27"/>
    </row>
    <row r="151" customFormat="false" ht="15" hidden="false" customHeight="false" outlineLevel="0" collapsed="false">
      <c r="A151" s="19" t="str">
        <f aca="false">IF($B151="","",ROW()-91)</f>
        <v/>
      </c>
      <c r="B151" s="26"/>
      <c r="C151" s="27"/>
      <c r="D151" s="27"/>
      <c r="E151" s="28"/>
      <c r="F151" s="28"/>
      <c r="G151" s="27"/>
      <c r="H151" s="29"/>
      <c r="I151" s="30"/>
      <c r="J151" s="18" t="str">
        <f aca="false">IF($H151="","",$H151*$I151)</f>
        <v/>
      </c>
      <c r="K151" s="27"/>
      <c r="L151" s="27"/>
      <c r="M151" s="27"/>
      <c r="N151" s="27"/>
    </row>
    <row r="152" customFormat="false" ht="15" hidden="false" customHeight="false" outlineLevel="0" collapsed="false">
      <c r="A152" s="19" t="str">
        <f aca="false">IF($B152="","",ROW()-91)</f>
        <v/>
      </c>
      <c r="B152" s="26"/>
      <c r="C152" s="27"/>
      <c r="D152" s="27"/>
      <c r="E152" s="28"/>
      <c r="F152" s="28"/>
      <c r="G152" s="27"/>
      <c r="H152" s="29"/>
      <c r="I152" s="30"/>
      <c r="J152" s="18" t="str">
        <f aca="false">IF($H152="","",$H152*$I152)</f>
        <v/>
      </c>
      <c r="K152" s="27"/>
      <c r="L152" s="27"/>
      <c r="M152" s="27"/>
      <c r="N152" s="27"/>
    </row>
    <row r="153" customFormat="false" ht="15" hidden="false" customHeight="false" outlineLevel="0" collapsed="false">
      <c r="A153" s="19" t="str">
        <f aca="false">IF($B153="","",ROW()-91)</f>
        <v/>
      </c>
      <c r="B153" s="26"/>
      <c r="C153" s="27"/>
      <c r="D153" s="27"/>
      <c r="E153" s="28"/>
      <c r="F153" s="28"/>
      <c r="G153" s="27"/>
      <c r="H153" s="29"/>
      <c r="I153" s="30"/>
      <c r="J153" s="18" t="str">
        <f aca="false">IF($H153="","",$H153*$I153)</f>
        <v/>
      </c>
      <c r="K153" s="27"/>
      <c r="L153" s="27"/>
      <c r="M153" s="27"/>
      <c r="N153" s="27"/>
    </row>
    <row r="154" customFormat="false" ht="15" hidden="false" customHeight="false" outlineLevel="0" collapsed="false">
      <c r="A154" s="19" t="str">
        <f aca="false">IF($B154="","",ROW()-91)</f>
        <v/>
      </c>
      <c r="B154" s="26"/>
      <c r="C154" s="27"/>
      <c r="D154" s="27"/>
      <c r="E154" s="28"/>
      <c r="F154" s="28"/>
      <c r="G154" s="27"/>
      <c r="H154" s="29"/>
      <c r="I154" s="30"/>
      <c r="J154" s="18" t="str">
        <f aca="false">IF($H154="","",$H154*$I154)</f>
        <v/>
      </c>
      <c r="K154" s="27"/>
      <c r="L154" s="27"/>
      <c r="M154" s="27"/>
      <c r="N154" s="27"/>
    </row>
    <row r="155" customFormat="false" ht="15" hidden="false" customHeight="false" outlineLevel="0" collapsed="false">
      <c r="A155" s="19" t="str">
        <f aca="false">IF($B155="","",ROW()-91)</f>
        <v/>
      </c>
      <c r="B155" s="26"/>
      <c r="C155" s="27"/>
      <c r="D155" s="27"/>
      <c r="E155" s="28"/>
      <c r="F155" s="28"/>
      <c r="G155" s="27"/>
      <c r="H155" s="29"/>
      <c r="I155" s="30"/>
      <c r="J155" s="18" t="str">
        <f aca="false">IF($H155="","",$H155*$I155)</f>
        <v/>
      </c>
      <c r="K155" s="27"/>
      <c r="L155" s="27"/>
      <c r="M155" s="27"/>
      <c r="N155" s="27"/>
    </row>
    <row r="156" customFormat="false" ht="15" hidden="false" customHeight="false" outlineLevel="0" collapsed="false">
      <c r="A156" s="19" t="str">
        <f aca="false">IF($B156="","",ROW()-91)</f>
        <v/>
      </c>
      <c r="B156" s="26"/>
      <c r="C156" s="27"/>
      <c r="D156" s="27"/>
      <c r="E156" s="28"/>
      <c r="F156" s="28"/>
      <c r="G156" s="27"/>
      <c r="H156" s="29"/>
      <c r="I156" s="30"/>
      <c r="J156" s="18" t="str">
        <f aca="false">IF($H156="","",$H156*$I156)</f>
        <v/>
      </c>
      <c r="K156" s="27"/>
      <c r="L156" s="27"/>
      <c r="M156" s="27"/>
      <c r="N156" s="27"/>
    </row>
    <row r="157" customFormat="false" ht="15" hidden="false" customHeight="false" outlineLevel="0" collapsed="false">
      <c r="A157" s="19" t="str">
        <f aca="false">IF($B157="","",ROW()-91)</f>
        <v/>
      </c>
      <c r="B157" s="26"/>
      <c r="C157" s="27"/>
      <c r="D157" s="27"/>
      <c r="E157" s="28"/>
      <c r="F157" s="28"/>
      <c r="G157" s="27"/>
      <c r="H157" s="29"/>
      <c r="I157" s="30"/>
      <c r="J157" s="18" t="str">
        <f aca="false">IF($H157="","",$H157*$I157)</f>
        <v/>
      </c>
      <c r="K157" s="27"/>
      <c r="L157" s="27"/>
      <c r="M157" s="27"/>
      <c r="N157" s="27"/>
    </row>
    <row r="158" customFormat="false" ht="15" hidden="false" customHeight="false" outlineLevel="0" collapsed="false">
      <c r="A158" s="19" t="str">
        <f aca="false">IF($B158="","",ROW()-91)</f>
        <v/>
      </c>
      <c r="B158" s="26"/>
      <c r="C158" s="27"/>
      <c r="D158" s="27"/>
      <c r="E158" s="28"/>
      <c r="F158" s="28"/>
      <c r="G158" s="27"/>
      <c r="H158" s="29"/>
      <c r="I158" s="30"/>
      <c r="J158" s="18" t="str">
        <f aca="false">IF($H158="","",$H158*$I158)</f>
        <v/>
      </c>
      <c r="K158" s="27"/>
      <c r="L158" s="27"/>
      <c r="M158" s="27"/>
      <c r="N158" s="27"/>
    </row>
    <row r="159" customFormat="false" ht="15" hidden="false" customHeight="false" outlineLevel="0" collapsed="false">
      <c r="A159" s="19" t="str">
        <f aca="false">IF($B159="","",ROW()-91)</f>
        <v/>
      </c>
      <c r="B159" s="26"/>
      <c r="C159" s="27"/>
      <c r="D159" s="27"/>
      <c r="E159" s="28"/>
      <c r="F159" s="28"/>
      <c r="G159" s="27"/>
      <c r="H159" s="29"/>
      <c r="I159" s="30"/>
      <c r="J159" s="18" t="str">
        <f aca="false">IF($H159="","",$H159*$I159)</f>
        <v/>
      </c>
      <c r="K159" s="27"/>
      <c r="L159" s="27"/>
      <c r="M159" s="27"/>
      <c r="N159" s="27"/>
    </row>
    <row r="160" customFormat="false" ht="15" hidden="false" customHeight="false" outlineLevel="0" collapsed="false">
      <c r="A160" s="19" t="str">
        <f aca="false">IF($B160="","",ROW()-91)</f>
        <v/>
      </c>
      <c r="B160" s="26"/>
      <c r="C160" s="27"/>
      <c r="D160" s="27"/>
      <c r="E160" s="28"/>
      <c r="F160" s="28"/>
      <c r="G160" s="27"/>
      <c r="H160" s="29"/>
      <c r="I160" s="30"/>
      <c r="J160" s="18" t="str">
        <f aca="false">IF($H160="","",$H160*$I160)</f>
        <v/>
      </c>
      <c r="K160" s="27"/>
      <c r="L160" s="27"/>
      <c r="M160" s="27"/>
      <c r="N160" s="27"/>
    </row>
    <row r="161" customFormat="false" ht="15" hidden="false" customHeight="false" outlineLevel="0" collapsed="false">
      <c r="A161" s="19" t="str">
        <f aca="false">IF($B161="","",ROW()-91)</f>
        <v/>
      </c>
      <c r="B161" s="26"/>
      <c r="C161" s="27"/>
      <c r="D161" s="27"/>
      <c r="E161" s="28"/>
      <c r="F161" s="28"/>
      <c r="G161" s="27"/>
      <c r="H161" s="29"/>
      <c r="I161" s="30"/>
      <c r="J161" s="18" t="str">
        <f aca="false">IF($H161="","",$H161*$I161)</f>
        <v/>
      </c>
      <c r="K161" s="27"/>
      <c r="L161" s="27"/>
      <c r="M161" s="27"/>
      <c r="N161" s="27"/>
    </row>
    <row r="162" customFormat="false" ht="15" hidden="false" customHeight="false" outlineLevel="0" collapsed="false">
      <c r="A162" s="19" t="str">
        <f aca="false">IF($B162="","",ROW()-91)</f>
        <v/>
      </c>
      <c r="B162" s="26"/>
      <c r="C162" s="27"/>
      <c r="D162" s="27"/>
      <c r="E162" s="28"/>
      <c r="F162" s="28"/>
      <c r="G162" s="27"/>
      <c r="H162" s="29"/>
      <c r="I162" s="30"/>
      <c r="J162" s="18" t="str">
        <f aca="false">IF($H162="","",$H162*$I162)</f>
        <v/>
      </c>
      <c r="K162" s="27"/>
      <c r="L162" s="27"/>
      <c r="M162" s="27"/>
      <c r="N162" s="27"/>
    </row>
    <row r="163" customFormat="false" ht="15" hidden="false" customHeight="false" outlineLevel="0" collapsed="false">
      <c r="A163" s="19" t="str">
        <f aca="false">IF($B163="","",ROW()-91)</f>
        <v/>
      </c>
      <c r="B163" s="26"/>
      <c r="C163" s="27"/>
      <c r="D163" s="27"/>
      <c r="E163" s="28"/>
      <c r="F163" s="28"/>
      <c r="G163" s="27"/>
      <c r="H163" s="29"/>
      <c r="I163" s="30"/>
      <c r="J163" s="18" t="str">
        <f aca="false">IF($H163="","",$H163*$I163)</f>
        <v/>
      </c>
      <c r="K163" s="27"/>
      <c r="L163" s="27"/>
      <c r="M163" s="27"/>
      <c r="N163" s="27"/>
    </row>
    <row r="164" customFormat="false" ht="15" hidden="false" customHeight="false" outlineLevel="0" collapsed="false">
      <c r="A164" s="19" t="str">
        <f aca="false">IF($B164="","",ROW()-91)</f>
        <v/>
      </c>
      <c r="B164" s="26"/>
      <c r="C164" s="27"/>
      <c r="D164" s="27"/>
      <c r="E164" s="28"/>
      <c r="F164" s="28"/>
      <c r="G164" s="27"/>
      <c r="H164" s="29"/>
      <c r="I164" s="30"/>
      <c r="J164" s="18" t="str">
        <f aca="false">IF($H164="","",$H164*$I164)</f>
        <v/>
      </c>
      <c r="K164" s="27"/>
      <c r="L164" s="27"/>
      <c r="M164" s="27"/>
      <c r="N164" s="27"/>
    </row>
    <row r="165" customFormat="false" ht="15" hidden="false" customHeight="false" outlineLevel="0" collapsed="false">
      <c r="A165" s="19" t="str">
        <f aca="false">IF($B165="","",ROW()-91)</f>
        <v/>
      </c>
      <c r="B165" s="26"/>
      <c r="C165" s="27"/>
      <c r="D165" s="27"/>
      <c r="E165" s="28"/>
      <c r="F165" s="28"/>
      <c r="G165" s="27"/>
      <c r="H165" s="29"/>
      <c r="I165" s="30"/>
      <c r="J165" s="18" t="str">
        <f aca="false">IF($H165="","",$H165*$I165)</f>
        <v/>
      </c>
      <c r="K165" s="27"/>
      <c r="L165" s="27"/>
      <c r="M165" s="27"/>
      <c r="N165" s="27"/>
    </row>
    <row r="166" customFormat="false" ht="15" hidden="false" customHeight="false" outlineLevel="0" collapsed="false">
      <c r="A166" s="19" t="str">
        <f aca="false">IF($B166="","",ROW()-91)</f>
        <v/>
      </c>
      <c r="B166" s="26"/>
      <c r="C166" s="27"/>
      <c r="D166" s="27"/>
      <c r="E166" s="28"/>
      <c r="F166" s="28"/>
      <c r="G166" s="27"/>
      <c r="H166" s="29"/>
      <c r="I166" s="30"/>
      <c r="J166" s="18" t="str">
        <f aca="false">IF($H166="","",$H166*$I166)</f>
        <v/>
      </c>
      <c r="K166" s="27"/>
      <c r="L166" s="27"/>
      <c r="M166" s="27"/>
      <c r="N166" s="27"/>
    </row>
    <row r="167" customFormat="false" ht="15" hidden="false" customHeight="false" outlineLevel="0" collapsed="false">
      <c r="A167" s="19" t="str">
        <f aca="false">IF($B167="","",ROW()-91)</f>
        <v/>
      </c>
      <c r="B167" s="26"/>
      <c r="C167" s="27"/>
      <c r="D167" s="27"/>
      <c r="E167" s="28"/>
      <c r="F167" s="28"/>
      <c r="G167" s="27"/>
      <c r="H167" s="29"/>
      <c r="I167" s="30"/>
      <c r="J167" s="18" t="str">
        <f aca="false">IF($H167="","",$H167*$I167)</f>
        <v/>
      </c>
      <c r="K167" s="27"/>
      <c r="L167" s="27"/>
      <c r="M167" s="27"/>
      <c r="N167" s="27"/>
    </row>
    <row r="168" customFormat="false" ht="15" hidden="false" customHeight="false" outlineLevel="0" collapsed="false">
      <c r="A168" s="19" t="str">
        <f aca="false">IF($B168="","",ROW()-91)</f>
        <v/>
      </c>
      <c r="B168" s="26"/>
      <c r="C168" s="27"/>
      <c r="D168" s="27"/>
      <c r="E168" s="28"/>
      <c r="F168" s="28"/>
      <c r="G168" s="27"/>
      <c r="H168" s="29"/>
      <c r="I168" s="30"/>
      <c r="J168" s="18" t="str">
        <f aca="false">IF($H168="","",$H168*$I168)</f>
        <v/>
      </c>
      <c r="K168" s="27"/>
      <c r="L168" s="27"/>
      <c r="M168" s="27"/>
      <c r="N168" s="27"/>
    </row>
    <row r="169" customFormat="false" ht="15" hidden="false" customHeight="false" outlineLevel="0" collapsed="false">
      <c r="A169" s="19" t="str">
        <f aca="false">IF($B169="","",ROW()-91)</f>
        <v/>
      </c>
      <c r="B169" s="26"/>
      <c r="C169" s="27"/>
      <c r="D169" s="27"/>
      <c r="E169" s="28"/>
      <c r="F169" s="28"/>
      <c r="G169" s="27"/>
      <c r="H169" s="29"/>
      <c r="I169" s="30"/>
      <c r="J169" s="18" t="str">
        <f aca="false">IF($H169="","",$H169*$I169)</f>
        <v/>
      </c>
      <c r="K169" s="27"/>
      <c r="L169" s="27"/>
      <c r="M169" s="27"/>
      <c r="N169" s="27"/>
    </row>
    <row r="170" customFormat="false" ht="15" hidden="false" customHeight="false" outlineLevel="0" collapsed="false">
      <c r="A170" s="19" t="str">
        <f aca="false">IF($B170="","",ROW()-91)</f>
        <v/>
      </c>
      <c r="B170" s="26"/>
      <c r="C170" s="27"/>
      <c r="D170" s="27"/>
      <c r="E170" s="28"/>
      <c r="F170" s="28"/>
      <c r="G170" s="27"/>
      <c r="H170" s="29"/>
      <c r="I170" s="30"/>
      <c r="J170" s="18" t="str">
        <f aca="false">IF($H170="","",$H170*$I170)</f>
        <v/>
      </c>
      <c r="K170" s="27"/>
      <c r="L170" s="27"/>
      <c r="M170" s="27"/>
      <c r="N170" s="27"/>
    </row>
    <row r="171" customFormat="false" ht="15" hidden="false" customHeight="false" outlineLevel="0" collapsed="false">
      <c r="A171" s="19" t="str">
        <f aca="false">IF($B171="","",ROW()-91)</f>
        <v/>
      </c>
      <c r="B171" s="26"/>
      <c r="C171" s="27"/>
      <c r="D171" s="27"/>
      <c r="E171" s="28"/>
      <c r="F171" s="28"/>
      <c r="G171" s="27"/>
      <c r="H171" s="29"/>
      <c r="I171" s="30"/>
      <c r="J171" s="18" t="str">
        <f aca="false">IF($H171="","",$H171*$I171)</f>
        <v/>
      </c>
      <c r="K171" s="27"/>
      <c r="L171" s="27"/>
      <c r="M171" s="27"/>
      <c r="N171" s="27"/>
    </row>
    <row r="172" customFormat="false" ht="21.75" hidden="false" customHeight="true" outlineLevel="0" collapsed="false">
      <c r="A172" s="15" t="s">
        <v>116</v>
      </c>
      <c r="B172" s="15"/>
      <c r="C172" s="15"/>
      <c r="D172" s="15"/>
      <c r="E172" s="15"/>
      <c r="F172" s="15"/>
      <c r="G172" s="15"/>
      <c r="H172" s="15"/>
      <c r="I172" s="15"/>
      <c r="J172" s="15"/>
      <c r="K172" s="16" t="n">
        <f aca="false">SUM($J$174:$J$253)</f>
        <v>0</v>
      </c>
      <c r="L172" s="16"/>
      <c r="M172" s="16"/>
      <c r="N172" s="16"/>
    </row>
    <row r="173" customFormat="false" ht="27.75" hidden="false" customHeight="true" outlineLevel="0" collapsed="false">
      <c r="A173" s="14" t="s">
        <v>37</v>
      </c>
      <c r="B173" s="14" t="s">
        <v>38</v>
      </c>
      <c r="C173" s="14" t="s">
        <v>39</v>
      </c>
      <c r="D173" s="14" t="s">
        <v>40</v>
      </c>
      <c r="E173" s="14" t="s">
        <v>41</v>
      </c>
      <c r="F173" s="14" t="s">
        <v>42</v>
      </c>
      <c r="G173" s="14" t="s">
        <v>43</v>
      </c>
      <c r="H173" s="14" t="s">
        <v>44</v>
      </c>
      <c r="I173" s="14" t="s">
        <v>45</v>
      </c>
      <c r="J173" s="14" t="s">
        <v>46</v>
      </c>
      <c r="K173" s="14" t="s">
        <v>47</v>
      </c>
      <c r="L173" s="14" t="s">
        <v>48</v>
      </c>
      <c r="M173" s="14" t="s">
        <v>49</v>
      </c>
      <c r="N173" s="14" t="s">
        <v>50</v>
      </c>
    </row>
    <row r="174" customFormat="false" ht="15" hidden="false" customHeight="false" outlineLevel="0" collapsed="false">
      <c r="A174" s="19" t="str">
        <f aca="false">IF($B174="","",ROW()-173)</f>
        <v/>
      </c>
      <c r="B174" s="26"/>
      <c r="C174" s="27"/>
      <c r="D174" s="27"/>
      <c r="E174" s="28"/>
      <c r="F174" s="28"/>
      <c r="G174" s="27"/>
      <c r="H174" s="29"/>
      <c r="I174" s="30"/>
      <c r="J174" s="18" t="str">
        <f aca="false">IF($H174="","",$H174*$I174)</f>
        <v/>
      </c>
      <c r="K174" s="27"/>
      <c r="L174" s="27"/>
      <c r="M174" s="27"/>
      <c r="N174" s="27"/>
    </row>
    <row r="175" customFormat="false" ht="15" hidden="false" customHeight="false" outlineLevel="0" collapsed="false">
      <c r="A175" s="19" t="str">
        <f aca="false">IF($B175="","",ROW()-173)</f>
        <v/>
      </c>
      <c r="B175" s="26"/>
      <c r="C175" s="27"/>
      <c r="D175" s="27"/>
      <c r="E175" s="28"/>
      <c r="F175" s="28"/>
      <c r="G175" s="27"/>
      <c r="H175" s="29"/>
      <c r="I175" s="30"/>
      <c r="J175" s="18" t="str">
        <f aca="false">IF($H175="","",$H175*$I175)</f>
        <v/>
      </c>
      <c r="K175" s="27"/>
      <c r="L175" s="27"/>
      <c r="M175" s="27"/>
      <c r="N175" s="27"/>
    </row>
    <row r="176" customFormat="false" ht="15" hidden="false" customHeight="false" outlineLevel="0" collapsed="false">
      <c r="A176" s="19" t="str">
        <f aca="false">IF($B176="","",ROW()-173)</f>
        <v/>
      </c>
      <c r="B176" s="26"/>
      <c r="C176" s="27"/>
      <c r="D176" s="27"/>
      <c r="E176" s="28"/>
      <c r="F176" s="28"/>
      <c r="G176" s="27"/>
      <c r="H176" s="29"/>
      <c r="I176" s="30"/>
      <c r="J176" s="18" t="str">
        <f aca="false">IF($H176="","",$H176*$I176)</f>
        <v/>
      </c>
      <c r="K176" s="27"/>
      <c r="L176" s="27"/>
      <c r="M176" s="27"/>
      <c r="N176" s="27"/>
    </row>
    <row r="177" customFormat="false" ht="15" hidden="false" customHeight="false" outlineLevel="0" collapsed="false">
      <c r="A177" s="19" t="str">
        <f aca="false">IF($B177="","",ROW()-173)</f>
        <v/>
      </c>
      <c r="B177" s="26"/>
      <c r="C177" s="27"/>
      <c r="D177" s="27"/>
      <c r="E177" s="28"/>
      <c r="F177" s="28"/>
      <c r="G177" s="27"/>
      <c r="H177" s="29"/>
      <c r="I177" s="30"/>
      <c r="J177" s="18" t="str">
        <f aca="false">IF($H177="","",$H177*$I177)</f>
        <v/>
      </c>
      <c r="K177" s="27"/>
      <c r="L177" s="27"/>
      <c r="M177" s="27"/>
      <c r="N177" s="27"/>
    </row>
    <row r="178" customFormat="false" ht="15" hidden="false" customHeight="false" outlineLevel="0" collapsed="false">
      <c r="A178" s="19" t="str">
        <f aca="false">IF($B178="","",ROW()-173)</f>
        <v/>
      </c>
      <c r="B178" s="26"/>
      <c r="C178" s="27"/>
      <c r="D178" s="27"/>
      <c r="E178" s="28"/>
      <c r="F178" s="28"/>
      <c r="G178" s="27"/>
      <c r="H178" s="29"/>
      <c r="I178" s="30"/>
      <c r="J178" s="18" t="str">
        <f aca="false">IF($H178="","",$H178*$I178)</f>
        <v/>
      </c>
      <c r="K178" s="27"/>
      <c r="L178" s="27"/>
      <c r="M178" s="27"/>
      <c r="N178" s="27"/>
    </row>
    <row r="179" customFormat="false" ht="15" hidden="false" customHeight="false" outlineLevel="0" collapsed="false">
      <c r="A179" s="19" t="str">
        <f aca="false">IF($B179="","",ROW()-173)</f>
        <v/>
      </c>
      <c r="B179" s="26"/>
      <c r="C179" s="27"/>
      <c r="D179" s="27"/>
      <c r="E179" s="28"/>
      <c r="F179" s="28"/>
      <c r="G179" s="27"/>
      <c r="H179" s="29"/>
      <c r="I179" s="30"/>
      <c r="J179" s="18" t="str">
        <f aca="false">IF($H179="","",$H179*$I179)</f>
        <v/>
      </c>
      <c r="K179" s="27"/>
      <c r="L179" s="27"/>
      <c r="M179" s="27"/>
      <c r="N179" s="27"/>
    </row>
    <row r="180" customFormat="false" ht="15" hidden="false" customHeight="false" outlineLevel="0" collapsed="false">
      <c r="A180" s="19" t="str">
        <f aca="false">IF($B180="","",ROW()-173)</f>
        <v/>
      </c>
      <c r="B180" s="26"/>
      <c r="C180" s="27"/>
      <c r="D180" s="27"/>
      <c r="E180" s="28"/>
      <c r="F180" s="28"/>
      <c r="G180" s="27"/>
      <c r="H180" s="29"/>
      <c r="I180" s="30"/>
      <c r="J180" s="18" t="str">
        <f aca="false">IF($H180="","",$H180*$I180)</f>
        <v/>
      </c>
      <c r="K180" s="27"/>
      <c r="L180" s="27"/>
      <c r="M180" s="27"/>
      <c r="N180" s="27"/>
    </row>
    <row r="181" customFormat="false" ht="15" hidden="false" customHeight="false" outlineLevel="0" collapsed="false">
      <c r="A181" s="19" t="str">
        <f aca="false">IF($B181="","",ROW()-173)</f>
        <v/>
      </c>
      <c r="B181" s="26"/>
      <c r="C181" s="27"/>
      <c r="D181" s="27"/>
      <c r="E181" s="28"/>
      <c r="F181" s="28"/>
      <c r="G181" s="27"/>
      <c r="H181" s="29"/>
      <c r="I181" s="30"/>
      <c r="J181" s="18" t="str">
        <f aca="false">IF($H181="","",$H181*$I181)</f>
        <v/>
      </c>
      <c r="K181" s="27"/>
      <c r="L181" s="27"/>
      <c r="M181" s="27"/>
      <c r="N181" s="27"/>
    </row>
    <row r="182" customFormat="false" ht="15" hidden="false" customHeight="false" outlineLevel="0" collapsed="false">
      <c r="A182" s="19" t="str">
        <f aca="false">IF($B182="","",ROW()-173)</f>
        <v/>
      </c>
      <c r="B182" s="26"/>
      <c r="C182" s="27"/>
      <c r="D182" s="27"/>
      <c r="E182" s="28"/>
      <c r="F182" s="28"/>
      <c r="G182" s="27"/>
      <c r="H182" s="29"/>
      <c r="I182" s="30"/>
      <c r="J182" s="18" t="str">
        <f aca="false">IF($H182="","",$H182*$I182)</f>
        <v/>
      </c>
      <c r="K182" s="27"/>
      <c r="L182" s="27"/>
      <c r="M182" s="27"/>
      <c r="N182" s="27"/>
    </row>
    <row r="183" customFormat="false" ht="15" hidden="false" customHeight="false" outlineLevel="0" collapsed="false">
      <c r="A183" s="19" t="str">
        <f aca="false">IF($B183="","",ROW()-173)</f>
        <v/>
      </c>
      <c r="B183" s="26"/>
      <c r="C183" s="27"/>
      <c r="D183" s="27"/>
      <c r="E183" s="28"/>
      <c r="F183" s="28"/>
      <c r="G183" s="27"/>
      <c r="H183" s="29"/>
      <c r="I183" s="30"/>
      <c r="J183" s="18" t="str">
        <f aca="false">IF($H183="","",$H183*$I183)</f>
        <v/>
      </c>
      <c r="K183" s="27"/>
      <c r="L183" s="27"/>
      <c r="M183" s="27"/>
      <c r="N183" s="27"/>
    </row>
    <row r="184" customFormat="false" ht="15" hidden="false" customHeight="false" outlineLevel="0" collapsed="false">
      <c r="A184" s="19" t="str">
        <f aca="false">IF($B184="","",ROW()-173)</f>
        <v/>
      </c>
      <c r="B184" s="26"/>
      <c r="C184" s="27"/>
      <c r="D184" s="27"/>
      <c r="E184" s="28"/>
      <c r="F184" s="28"/>
      <c r="G184" s="27"/>
      <c r="H184" s="29"/>
      <c r="I184" s="30"/>
      <c r="J184" s="18" t="str">
        <f aca="false">IF($H184="","",$H184*$I184)</f>
        <v/>
      </c>
      <c r="K184" s="27"/>
      <c r="L184" s="27"/>
      <c r="M184" s="27"/>
      <c r="N184" s="27"/>
    </row>
    <row r="185" customFormat="false" ht="15" hidden="false" customHeight="false" outlineLevel="0" collapsed="false">
      <c r="A185" s="19" t="str">
        <f aca="false">IF($B185="","",ROW()-173)</f>
        <v/>
      </c>
      <c r="B185" s="26"/>
      <c r="C185" s="27"/>
      <c r="D185" s="27"/>
      <c r="E185" s="28"/>
      <c r="F185" s="28"/>
      <c r="G185" s="27"/>
      <c r="H185" s="29"/>
      <c r="I185" s="30"/>
      <c r="J185" s="18" t="str">
        <f aca="false">IF($H185="","",$H185*$I185)</f>
        <v/>
      </c>
      <c r="K185" s="27"/>
      <c r="L185" s="27"/>
      <c r="M185" s="27"/>
      <c r="N185" s="27"/>
    </row>
    <row r="186" customFormat="false" ht="15" hidden="false" customHeight="false" outlineLevel="0" collapsed="false">
      <c r="A186" s="19" t="str">
        <f aca="false">IF($B186="","",ROW()-173)</f>
        <v/>
      </c>
      <c r="B186" s="26"/>
      <c r="C186" s="27"/>
      <c r="D186" s="27"/>
      <c r="E186" s="28"/>
      <c r="F186" s="28"/>
      <c r="G186" s="27"/>
      <c r="H186" s="29"/>
      <c r="I186" s="30"/>
      <c r="J186" s="18" t="str">
        <f aca="false">IF($H186="","",$H186*$I186)</f>
        <v/>
      </c>
      <c r="K186" s="27"/>
      <c r="L186" s="27"/>
      <c r="M186" s="27"/>
      <c r="N186" s="27"/>
    </row>
    <row r="187" customFormat="false" ht="15" hidden="false" customHeight="false" outlineLevel="0" collapsed="false">
      <c r="A187" s="19" t="str">
        <f aca="false">IF($B187="","",ROW()-173)</f>
        <v/>
      </c>
      <c r="B187" s="26"/>
      <c r="C187" s="27"/>
      <c r="D187" s="27"/>
      <c r="E187" s="28"/>
      <c r="F187" s="28"/>
      <c r="G187" s="27"/>
      <c r="H187" s="29"/>
      <c r="I187" s="30"/>
      <c r="J187" s="18" t="str">
        <f aca="false">IF($H187="","",$H187*$I187)</f>
        <v/>
      </c>
      <c r="K187" s="27"/>
      <c r="L187" s="27"/>
      <c r="M187" s="27"/>
      <c r="N187" s="27"/>
    </row>
    <row r="188" customFormat="false" ht="15" hidden="false" customHeight="false" outlineLevel="0" collapsed="false">
      <c r="A188" s="19" t="str">
        <f aca="false">IF($B188="","",ROW()-173)</f>
        <v/>
      </c>
      <c r="B188" s="26"/>
      <c r="C188" s="27"/>
      <c r="D188" s="27"/>
      <c r="E188" s="28"/>
      <c r="F188" s="28"/>
      <c r="G188" s="27"/>
      <c r="H188" s="29"/>
      <c r="I188" s="30"/>
      <c r="J188" s="18" t="str">
        <f aca="false">IF($H188="","",$H188*$I188)</f>
        <v/>
      </c>
      <c r="K188" s="27"/>
      <c r="L188" s="27"/>
      <c r="M188" s="27"/>
      <c r="N188" s="27"/>
    </row>
    <row r="189" customFormat="false" ht="15" hidden="false" customHeight="false" outlineLevel="0" collapsed="false">
      <c r="A189" s="19" t="str">
        <f aca="false">IF($B189="","",ROW()-173)</f>
        <v/>
      </c>
      <c r="B189" s="26"/>
      <c r="C189" s="27"/>
      <c r="D189" s="27"/>
      <c r="E189" s="28"/>
      <c r="F189" s="28"/>
      <c r="G189" s="27"/>
      <c r="H189" s="29"/>
      <c r="I189" s="30"/>
      <c r="J189" s="18" t="str">
        <f aca="false">IF($H189="","",$H189*$I189)</f>
        <v/>
      </c>
      <c r="K189" s="27"/>
      <c r="L189" s="27"/>
      <c r="M189" s="27"/>
      <c r="N189" s="27"/>
    </row>
    <row r="190" customFormat="false" ht="15" hidden="false" customHeight="false" outlineLevel="0" collapsed="false">
      <c r="A190" s="19" t="str">
        <f aca="false">IF($B190="","",ROW()-173)</f>
        <v/>
      </c>
      <c r="B190" s="26"/>
      <c r="C190" s="27"/>
      <c r="D190" s="27"/>
      <c r="E190" s="28"/>
      <c r="F190" s="28"/>
      <c r="G190" s="27"/>
      <c r="H190" s="29"/>
      <c r="I190" s="30"/>
      <c r="J190" s="18" t="str">
        <f aca="false">IF($H190="","",$H190*$I190)</f>
        <v/>
      </c>
      <c r="K190" s="27"/>
      <c r="L190" s="27"/>
      <c r="M190" s="27"/>
      <c r="N190" s="27"/>
    </row>
    <row r="191" customFormat="false" ht="15" hidden="false" customHeight="false" outlineLevel="0" collapsed="false">
      <c r="A191" s="19" t="str">
        <f aca="false">IF($B191="","",ROW()-173)</f>
        <v/>
      </c>
      <c r="B191" s="26"/>
      <c r="C191" s="27"/>
      <c r="D191" s="27"/>
      <c r="E191" s="28"/>
      <c r="F191" s="28"/>
      <c r="G191" s="27"/>
      <c r="H191" s="29"/>
      <c r="I191" s="30"/>
      <c r="J191" s="18" t="str">
        <f aca="false">IF($H191="","",$H191*$I191)</f>
        <v/>
      </c>
      <c r="K191" s="27"/>
      <c r="L191" s="27"/>
      <c r="M191" s="27"/>
      <c r="N191" s="27"/>
    </row>
    <row r="192" customFormat="false" ht="15" hidden="false" customHeight="false" outlineLevel="0" collapsed="false">
      <c r="A192" s="19" t="str">
        <f aca="false">IF($B192="","",ROW()-173)</f>
        <v/>
      </c>
      <c r="B192" s="26"/>
      <c r="C192" s="27"/>
      <c r="D192" s="27"/>
      <c r="E192" s="28"/>
      <c r="F192" s="28"/>
      <c r="G192" s="27"/>
      <c r="H192" s="29"/>
      <c r="I192" s="30"/>
      <c r="J192" s="18" t="str">
        <f aca="false">IF($H192="","",$H192*$I192)</f>
        <v/>
      </c>
      <c r="K192" s="27"/>
      <c r="L192" s="27"/>
      <c r="M192" s="27"/>
      <c r="N192" s="27"/>
    </row>
    <row r="193" customFormat="false" ht="15" hidden="false" customHeight="false" outlineLevel="0" collapsed="false">
      <c r="A193" s="19" t="str">
        <f aca="false">IF($B193="","",ROW()-173)</f>
        <v/>
      </c>
      <c r="B193" s="26"/>
      <c r="C193" s="27"/>
      <c r="D193" s="27"/>
      <c r="E193" s="28"/>
      <c r="F193" s="28"/>
      <c r="G193" s="27"/>
      <c r="H193" s="29"/>
      <c r="I193" s="30"/>
      <c r="J193" s="18" t="str">
        <f aca="false">IF($H193="","",$H193*$I193)</f>
        <v/>
      </c>
      <c r="K193" s="27"/>
      <c r="L193" s="27"/>
      <c r="M193" s="27"/>
      <c r="N193" s="27"/>
    </row>
    <row r="194" customFormat="false" ht="15" hidden="false" customHeight="false" outlineLevel="0" collapsed="false">
      <c r="A194" s="19" t="str">
        <f aca="false">IF($B194="","",ROW()-173)</f>
        <v/>
      </c>
      <c r="B194" s="26"/>
      <c r="C194" s="27"/>
      <c r="D194" s="27"/>
      <c r="E194" s="28"/>
      <c r="F194" s="28"/>
      <c r="G194" s="27"/>
      <c r="H194" s="29"/>
      <c r="I194" s="30"/>
      <c r="J194" s="18" t="str">
        <f aca="false">IF($H194="","",$H194*$I194)</f>
        <v/>
      </c>
      <c r="K194" s="27"/>
      <c r="L194" s="27"/>
      <c r="M194" s="27"/>
      <c r="N194" s="27"/>
    </row>
    <row r="195" customFormat="false" ht="15" hidden="false" customHeight="false" outlineLevel="0" collapsed="false">
      <c r="A195" s="19" t="str">
        <f aca="false">IF($B195="","",ROW()-173)</f>
        <v/>
      </c>
      <c r="B195" s="26"/>
      <c r="C195" s="27"/>
      <c r="D195" s="27"/>
      <c r="E195" s="28"/>
      <c r="F195" s="28"/>
      <c r="G195" s="27"/>
      <c r="H195" s="29"/>
      <c r="I195" s="30"/>
      <c r="J195" s="18" t="str">
        <f aca="false">IF($H195="","",$H195*$I195)</f>
        <v/>
      </c>
      <c r="K195" s="27"/>
      <c r="L195" s="27"/>
      <c r="M195" s="27"/>
      <c r="N195" s="27"/>
    </row>
    <row r="196" customFormat="false" ht="15" hidden="false" customHeight="false" outlineLevel="0" collapsed="false">
      <c r="A196" s="19" t="str">
        <f aca="false">IF($B196="","",ROW()-173)</f>
        <v/>
      </c>
      <c r="B196" s="26"/>
      <c r="C196" s="27"/>
      <c r="D196" s="27"/>
      <c r="E196" s="28"/>
      <c r="F196" s="28"/>
      <c r="G196" s="27"/>
      <c r="H196" s="29"/>
      <c r="I196" s="30"/>
      <c r="J196" s="18" t="str">
        <f aca="false">IF($H196="","",$H196*$I196)</f>
        <v/>
      </c>
      <c r="K196" s="27"/>
      <c r="L196" s="27"/>
      <c r="M196" s="27"/>
      <c r="N196" s="27"/>
    </row>
    <row r="197" customFormat="false" ht="15" hidden="false" customHeight="false" outlineLevel="0" collapsed="false">
      <c r="A197" s="19" t="str">
        <f aca="false">IF($B197="","",ROW()-173)</f>
        <v/>
      </c>
      <c r="B197" s="26"/>
      <c r="C197" s="27"/>
      <c r="D197" s="27"/>
      <c r="E197" s="28"/>
      <c r="F197" s="28"/>
      <c r="G197" s="27"/>
      <c r="H197" s="29"/>
      <c r="I197" s="30"/>
      <c r="J197" s="18" t="str">
        <f aca="false">IF($H197="","",$H197*$I197)</f>
        <v/>
      </c>
      <c r="K197" s="27"/>
      <c r="L197" s="27"/>
      <c r="M197" s="27"/>
      <c r="N197" s="27"/>
    </row>
    <row r="198" customFormat="false" ht="15" hidden="false" customHeight="false" outlineLevel="0" collapsed="false">
      <c r="A198" s="19" t="str">
        <f aca="false">IF($B198="","",ROW()-173)</f>
        <v/>
      </c>
      <c r="B198" s="26"/>
      <c r="C198" s="27"/>
      <c r="D198" s="27"/>
      <c r="E198" s="28"/>
      <c r="F198" s="28"/>
      <c r="G198" s="27"/>
      <c r="H198" s="29"/>
      <c r="I198" s="30"/>
      <c r="J198" s="18" t="str">
        <f aca="false">IF($H198="","",$H198*$I198)</f>
        <v/>
      </c>
      <c r="K198" s="27"/>
      <c r="L198" s="27"/>
      <c r="M198" s="27"/>
      <c r="N198" s="27"/>
    </row>
    <row r="199" customFormat="false" ht="15" hidden="false" customHeight="false" outlineLevel="0" collapsed="false">
      <c r="A199" s="19" t="str">
        <f aca="false">IF($B199="","",ROW()-173)</f>
        <v/>
      </c>
      <c r="B199" s="26"/>
      <c r="C199" s="27"/>
      <c r="D199" s="27"/>
      <c r="E199" s="28"/>
      <c r="F199" s="28"/>
      <c r="G199" s="27"/>
      <c r="H199" s="29"/>
      <c r="I199" s="30"/>
      <c r="J199" s="18" t="str">
        <f aca="false">IF($H199="","",$H199*$I199)</f>
        <v/>
      </c>
      <c r="K199" s="27"/>
      <c r="L199" s="27"/>
      <c r="M199" s="27"/>
      <c r="N199" s="27"/>
    </row>
    <row r="200" customFormat="false" ht="15" hidden="false" customHeight="false" outlineLevel="0" collapsed="false">
      <c r="A200" s="19" t="str">
        <f aca="false">IF($B200="","",ROW()-173)</f>
        <v/>
      </c>
      <c r="B200" s="26"/>
      <c r="C200" s="27"/>
      <c r="D200" s="27"/>
      <c r="E200" s="28"/>
      <c r="F200" s="28"/>
      <c r="G200" s="27"/>
      <c r="H200" s="29"/>
      <c r="I200" s="30"/>
      <c r="J200" s="18" t="str">
        <f aca="false">IF($H200="","",$H200*$I200)</f>
        <v/>
      </c>
      <c r="K200" s="27"/>
      <c r="L200" s="27"/>
      <c r="M200" s="27"/>
      <c r="N200" s="27"/>
    </row>
    <row r="201" customFormat="false" ht="15" hidden="false" customHeight="false" outlineLevel="0" collapsed="false">
      <c r="A201" s="19" t="str">
        <f aca="false">IF($B201="","",ROW()-173)</f>
        <v/>
      </c>
      <c r="B201" s="26"/>
      <c r="C201" s="27"/>
      <c r="D201" s="27"/>
      <c r="E201" s="28"/>
      <c r="F201" s="28"/>
      <c r="G201" s="27"/>
      <c r="H201" s="29"/>
      <c r="I201" s="30"/>
      <c r="J201" s="18" t="str">
        <f aca="false">IF($H201="","",$H201*$I201)</f>
        <v/>
      </c>
      <c r="K201" s="27"/>
      <c r="L201" s="27"/>
      <c r="M201" s="27"/>
      <c r="N201" s="27"/>
    </row>
    <row r="202" customFormat="false" ht="15" hidden="false" customHeight="false" outlineLevel="0" collapsed="false">
      <c r="A202" s="19" t="str">
        <f aca="false">IF($B202="","",ROW()-173)</f>
        <v/>
      </c>
      <c r="B202" s="26"/>
      <c r="C202" s="27"/>
      <c r="D202" s="27"/>
      <c r="E202" s="28"/>
      <c r="F202" s="28"/>
      <c r="G202" s="27"/>
      <c r="H202" s="29"/>
      <c r="I202" s="30"/>
      <c r="J202" s="18" t="str">
        <f aca="false">IF($H202="","",$H202*$I202)</f>
        <v/>
      </c>
      <c r="K202" s="27"/>
      <c r="L202" s="27"/>
      <c r="M202" s="27"/>
      <c r="N202" s="27"/>
    </row>
    <row r="203" customFormat="false" ht="15" hidden="false" customHeight="false" outlineLevel="0" collapsed="false">
      <c r="A203" s="19" t="str">
        <f aca="false">IF($B203="","",ROW()-173)</f>
        <v/>
      </c>
      <c r="B203" s="26"/>
      <c r="C203" s="27"/>
      <c r="D203" s="27"/>
      <c r="E203" s="28"/>
      <c r="F203" s="28"/>
      <c r="G203" s="27"/>
      <c r="H203" s="29"/>
      <c r="I203" s="30"/>
      <c r="J203" s="18" t="str">
        <f aca="false">IF($H203="","",$H203*$I203)</f>
        <v/>
      </c>
      <c r="K203" s="27"/>
      <c r="L203" s="27"/>
      <c r="M203" s="27"/>
      <c r="N203" s="27"/>
    </row>
    <row r="204" customFormat="false" ht="15" hidden="false" customHeight="false" outlineLevel="0" collapsed="false">
      <c r="A204" s="19" t="str">
        <f aca="false">IF($B204="","",ROW()-173)</f>
        <v/>
      </c>
      <c r="B204" s="26"/>
      <c r="C204" s="27"/>
      <c r="D204" s="27"/>
      <c r="E204" s="28"/>
      <c r="F204" s="28"/>
      <c r="G204" s="27"/>
      <c r="H204" s="29"/>
      <c r="I204" s="30"/>
      <c r="J204" s="18" t="str">
        <f aca="false">IF($H204="","",$H204*$I204)</f>
        <v/>
      </c>
      <c r="K204" s="27"/>
      <c r="L204" s="27"/>
      <c r="M204" s="27"/>
      <c r="N204" s="27"/>
    </row>
    <row r="205" customFormat="false" ht="15" hidden="false" customHeight="false" outlineLevel="0" collapsed="false">
      <c r="A205" s="19" t="str">
        <f aca="false">IF($B205="","",ROW()-173)</f>
        <v/>
      </c>
      <c r="B205" s="26"/>
      <c r="C205" s="27"/>
      <c r="D205" s="27"/>
      <c r="E205" s="28"/>
      <c r="F205" s="28"/>
      <c r="G205" s="27"/>
      <c r="H205" s="29"/>
      <c r="I205" s="30"/>
      <c r="J205" s="18" t="str">
        <f aca="false">IF($H205="","",$H205*$I205)</f>
        <v/>
      </c>
      <c r="K205" s="27"/>
      <c r="L205" s="27"/>
      <c r="M205" s="27"/>
      <c r="N205" s="27"/>
    </row>
    <row r="206" customFormat="false" ht="15" hidden="false" customHeight="false" outlineLevel="0" collapsed="false">
      <c r="A206" s="19" t="str">
        <f aca="false">IF($B206="","",ROW()-173)</f>
        <v/>
      </c>
      <c r="B206" s="26"/>
      <c r="C206" s="27"/>
      <c r="D206" s="27"/>
      <c r="E206" s="28"/>
      <c r="F206" s="28"/>
      <c r="G206" s="27"/>
      <c r="H206" s="29"/>
      <c r="I206" s="30"/>
      <c r="J206" s="18" t="str">
        <f aca="false">IF($H206="","",$H206*$I206)</f>
        <v/>
      </c>
      <c r="K206" s="27"/>
      <c r="L206" s="27"/>
      <c r="M206" s="27"/>
      <c r="N206" s="27"/>
    </row>
    <row r="207" customFormat="false" ht="15" hidden="false" customHeight="false" outlineLevel="0" collapsed="false">
      <c r="A207" s="19" t="str">
        <f aca="false">IF($B207="","",ROW()-173)</f>
        <v/>
      </c>
      <c r="B207" s="26"/>
      <c r="C207" s="27"/>
      <c r="D207" s="27"/>
      <c r="E207" s="28"/>
      <c r="F207" s="28"/>
      <c r="G207" s="27"/>
      <c r="H207" s="29"/>
      <c r="I207" s="30"/>
      <c r="J207" s="18" t="str">
        <f aca="false">IF($H207="","",$H207*$I207)</f>
        <v/>
      </c>
      <c r="K207" s="27"/>
      <c r="L207" s="27"/>
      <c r="M207" s="27"/>
      <c r="N207" s="27"/>
    </row>
    <row r="208" customFormat="false" ht="15" hidden="false" customHeight="false" outlineLevel="0" collapsed="false">
      <c r="A208" s="19" t="str">
        <f aca="false">IF($B208="","",ROW()-173)</f>
        <v/>
      </c>
      <c r="B208" s="26"/>
      <c r="C208" s="27"/>
      <c r="D208" s="27"/>
      <c r="E208" s="28"/>
      <c r="F208" s="28"/>
      <c r="G208" s="27"/>
      <c r="H208" s="29"/>
      <c r="I208" s="30"/>
      <c r="J208" s="18" t="str">
        <f aca="false">IF($H208="","",$H208*$I208)</f>
        <v/>
      </c>
      <c r="K208" s="27"/>
      <c r="L208" s="27"/>
      <c r="M208" s="27"/>
      <c r="N208" s="27"/>
    </row>
    <row r="209" customFormat="false" ht="15" hidden="false" customHeight="false" outlineLevel="0" collapsed="false">
      <c r="A209" s="19" t="str">
        <f aca="false">IF($B209="","",ROW()-173)</f>
        <v/>
      </c>
      <c r="B209" s="26"/>
      <c r="C209" s="27"/>
      <c r="D209" s="27"/>
      <c r="E209" s="28"/>
      <c r="F209" s="28"/>
      <c r="G209" s="27"/>
      <c r="H209" s="29"/>
      <c r="I209" s="30"/>
      <c r="J209" s="18" t="str">
        <f aca="false">IF($H209="","",$H209*$I209)</f>
        <v/>
      </c>
      <c r="K209" s="27"/>
      <c r="L209" s="27"/>
      <c r="M209" s="27"/>
      <c r="N209" s="27"/>
    </row>
    <row r="210" customFormat="false" ht="15" hidden="false" customHeight="false" outlineLevel="0" collapsed="false">
      <c r="A210" s="19" t="str">
        <f aca="false">IF($B210="","",ROW()-173)</f>
        <v/>
      </c>
      <c r="B210" s="26"/>
      <c r="C210" s="27"/>
      <c r="D210" s="27"/>
      <c r="E210" s="28"/>
      <c r="F210" s="28"/>
      <c r="G210" s="27"/>
      <c r="H210" s="29"/>
      <c r="I210" s="30"/>
      <c r="J210" s="18" t="str">
        <f aca="false">IF($H210="","",$H210*$I210)</f>
        <v/>
      </c>
      <c r="K210" s="27"/>
      <c r="L210" s="27"/>
      <c r="M210" s="27"/>
      <c r="N210" s="27"/>
    </row>
    <row r="211" customFormat="false" ht="15" hidden="false" customHeight="false" outlineLevel="0" collapsed="false">
      <c r="A211" s="19" t="str">
        <f aca="false">IF($B211="","",ROW()-173)</f>
        <v/>
      </c>
      <c r="B211" s="26"/>
      <c r="C211" s="27"/>
      <c r="D211" s="27"/>
      <c r="E211" s="28"/>
      <c r="F211" s="28"/>
      <c r="G211" s="27"/>
      <c r="H211" s="29"/>
      <c r="I211" s="30"/>
      <c r="J211" s="18" t="str">
        <f aca="false">IF($H211="","",$H211*$I211)</f>
        <v/>
      </c>
      <c r="K211" s="27"/>
      <c r="L211" s="27"/>
      <c r="M211" s="27"/>
      <c r="N211" s="27"/>
    </row>
    <row r="212" customFormat="false" ht="15" hidden="false" customHeight="false" outlineLevel="0" collapsed="false">
      <c r="A212" s="19" t="str">
        <f aca="false">IF($B212="","",ROW()-173)</f>
        <v/>
      </c>
      <c r="B212" s="26"/>
      <c r="C212" s="27"/>
      <c r="D212" s="27"/>
      <c r="E212" s="28"/>
      <c r="F212" s="28"/>
      <c r="G212" s="27"/>
      <c r="H212" s="29"/>
      <c r="I212" s="30"/>
      <c r="J212" s="18" t="str">
        <f aca="false">IF($H212="","",$H212*$I212)</f>
        <v/>
      </c>
      <c r="K212" s="27"/>
      <c r="L212" s="27"/>
      <c r="M212" s="27"/>
      <c r="N212" s="27"/>
    </row>
    <row r="213" customFormat="false" ht="15" hidden="false" customHeight="false" outlineLevel="0" collapsed="false">
      <c r="A213" s="19" t="str">
        <f aca="false">IF($B213="","",ROW()-173)</f>
        <v/>
      </c>
      <c r="B213" s="26"/>
      <c r="C213" s="27"/>
      <c r="D213" s="27"/>
      <c r="E213" s="28"/>
      <c r="F213" s="28"/>
      <c r="G213" s="27"/>
      <c r="H213" s="29"/>
      <c r="I213" s="30"/>
      <c r="J213" s="18" t="str">
        <f aca="false">IF($H213="","",$H213*$I213)</f>
        <v/>
      </c>
      <c r="K213" s="27"/>
      <c r="L213" s="27"/>
      <c r="M213" s="27"/>
      <c r="N213" s="27"/>
    </row>
    <row r="214" customFormat="false" ht="15" hidden="false" customHeight="false" outlineLevel="0" collapsed="false">
      <c r="A214" s="19" t="str">
        <f aca="false">IF($B214="","",ROW()-173)</f>
        <v/>
      </c>
      <c r="B214" s="26"/>
      <c r="C214" s="27"/>
      <c r="D214" s="27"/>
      <c r="E214" s="28"/>
      <c r="F214" s="28"/>
      <c r="G214" s="27"/>
      <c r="H214" s="29"/>
      <c r="I214" s="30"/>
      <c r="J214" s="18" t="str">
        <f aca="false">IF($H214="","",$H214*$I214)</f>
        <v/>
      </c>
      <c r="K214" s="27"/>
      <c r="L214" s="27"/>
      <c r="M214" s="27"/>
      <c r="N214" s="27"/>
    </row>
    <row r="215" customFormat="false" ht="15" hidden="false" customHeight="false" outlineLevel="0" collapsed="false">
      <c r="A215" s="19" t="str">
        <f aca="false">IF($B215="","",ROW()-173)</f>
        <v/>
      </c>
      <c r="B215" s="26"/>
      <c r="C215" s="27"/>
      <c r="D215" s="27"/>
      <c r="E215" s="28"/>
      <c r="F215" s="28"/>
      <c r="G215" s="27"/>
      <c r="H215" s="29"/>
      <c r="I215" s="30"/>
      <c r="J215" s="18" t="str">
        <f aca="false">IF($H215="","",$H215*$I215)</f>
        <v/>
      </c>
      <c r="K215" s="27"/>
      <c r="L215" s="27"/>
      <c r="M215" s="27"/>
      <c r="N215" s="27"/>
    </row>
    <row r="216" customFormat="false" ht="15" hidden="false" customHeight="false" outlineLevel="0" collapsed="false">
      <c r="A216" s="19" t="str">
        <f aca="false">IF($B216="","",ROW()-173)</f>
        <v/>
      </c>
      <c r="B216" s="26"/>
      <c r="C216" s="27"/>
      <c r="D216" s="27"/>
      <c r="E216" s="28"/>
      <c r="F216" s="28"/>
      <c r="G216" s="27"/>
      <c r="H216" s="29"/>
      <c r="I216" s="30"/>
      <c r="J216" s="18" t="str">
        <f aca="false">IF($H216="","",$H216*$I216)</f>
        <v/>
      </c>
      <c r="K216" s="27"/>
      <c r="L216" s="27"/>
      <c r="M216" s="27"/>
      <c r="N216" s="27"/>
    </row>
    <row r="217" customFormat="false" ht="15" hidden="false" customHeight="false" outlineLevel="0" collapsed="false">
      <c r="A217" s="19" t="str">
        <f aca="false">IF($B217="","",ROW()-173)</f>
        <v/>
      </c>
      <c r="B217" s="26"/>
      <c r="C217" s="27"/>
      <c r="D217" s="27"/>
      <c r="E217" s="28"/>
      <c r="F217" s="28"/>
      <c r="G217" s="27"/>
      <c r="H217" s="29"/>
      <c r="I217" s="30"/>
      <c r="J217" s="18" t="str">
        <f aca="false">IF($H217="","",$H217*$I217)</f>
        <v/>
      </c>
      <c r="K217" s="27"/>
      <c r="L217" s="27"/>
      <c r="M217" s="27"/>
      <c r="N217" s="27"/>
    </row>
    <row r="218" customFormat="false" ht="15" hidden="false" customHeight="false" outlineLevel="0" collapsed="false">
      <c r="A218" s="19" t="str">
        <f aca="false">IF($B218="","",ROW()-173)</f>
        <v/>
      </c>
      <c r="B218" s="26"/>
      <c r="C218" s="27"/>
      <c r="D218" s="27"/>
      <c r="E218" s="28"/>
      <c r="F218" s="28"/>
      <c r="G218" s="27"/>
      <c r="H218" s="29"/>
      <c r="I218" s="30"/>
      <c r="J218" s="18" t="str">
        <f aca="false">IF($H218="","",$H218*$I218)</f>
        <v/>
      </c>
      <c r="K218" s="27"/>
      <c r="L218" s="27"/>
      <c r="M218" s="27"/>
      <c r="N218" s="27"/>
    </row>
    <row r="219" customFormat="false" ht="15" hidden="false" customHeight="false" outlineLevel="0" collapsed="false">
      <c r="A219" s="19" t="str">
        <f aca="false">IF($B219="","",ROW()-173)</f>
        <v/>
      </c>
      <c r="B219" s="26"/>
      <c r="C219" s="27"/>
      <c r="D219" s="27"/>
      <c r="E219" s="28"/>
      <c r="F219" s="28"/>
      <c r="G219" s="27"/>
      <c r="H219" s="29"/>
      <c r="I219" s="30"/>
      <c r="J219" s="18" t="str">
        <f aca="false">IF($H219="","",$H219*$I219)</f>
        <v/>
      </c>
      <c r="K219" s="27"/>
      <c r="L219" s="27"/>
      <c r="M219" s="27"/>
      <c r="N219" s="27"/>
    </row>
    <row r="220" customFormat="false" ht="15" hidden="false" customHeight="false" outlineLevel="0" collapsed="false">
      <c r="A220" s="19" t="str">
        <f aca="false">IF($B220="","",ROW()-173)</f>
        <v/>
      </c>
      <c r="B220" s="26"/>
      <c r="C220" s="27"/>
      <c r="D220" s="27"/>
      <c r="E220" s="28"/>
      <c r="F220" s="28"/>
      <c r="G220" s="27"/>
      <c r="H220" s="29"/>
      <c r="I220" s="30"/>
      <c r="J220" s="18" t="str">
        <f aca="false">IF($H220="","",$H220*$I220)</f>
        <v/>
      </c>
      <c r="K220" s="27"/>
      <c r="L220" s="27"/>
      <c r="M220" s="27"/>
      <c r="N220" s="27"/>
    </row>
    <row r="221" customFormat="false" ht="15" hidden="false" customHeight="false" outlineLevel="0" collapsed="false">
      <c r="A221" s="19" t="str">
        <f aca="false">IF($B221="","",ROW()-173)</f>
        <v/>
      </c>
      <c r="B221" s="26"/>
      <c r="C221" s="27"/>
      <c r="D221" s="27"/>
      <c r="E221" s="28"/>
      <c r="F221" s="28"/>
      <c r="G221" s="27"/>
      <c r="H221" s="29"/>
      <c r="I221" s="30"/>
      <c r="J221" s="18" t="str">
        <f aca="false">IF($H221="","",$H221*$I221)</f>
        <v/>
      </c>
      <c r="K221" s="27"/>
      <c r="L221" s="27"/>
      <c r="M221" s="27"/>
      <c r="N221" s="27"/>
    </row>
    <row r="222" customFormat="false" ht="15" hidden="false" customHeight="false" outlineLevel="0" collapsed="false">
      <c r="A222" s="19" t="str">
        <f aca="false">IF($B222="","",ROW()-173)</f>
        <v/>
      </c>
      <c r="B222" s="26"/>
      <c r="C222" s="27"/>
      <c r="D222" s="27"/>
      <c r="E222" s="28"/>
      <c r="F222" s="28"/>
      <c r="G222" s="27"/>
      <c r="H222" s="29"/>
      <c r="I222" s="30"/>
      <c r="J222" s="18" t="str">
        <f aca="false">IF($H222="","",$H222*$I222)</f>
        <v/>
      </c>
      <c r="K222" s="27"/>
      <c r="L222" s="27"/>
      <c r="M222" s="27"/>
      <c r="N222" s="27"/>
    </row>
    <row r="223" customFormat="false" ht="15" hidden="false" customHeight="false" outlineLevel="0" collapsed="false">
      <c r="A223" s="19" t="str">
        <f aca="false">IF($B223="","",ROW()-173)</f>
        <v/>
      </c>
      <c r="B223" s="26"/>
      <c r="C223" s="27"/>
      <c r="D223" s="27"/>
      <c r="E223" s="28"/>
      <c r="F223" s="28"/>
      <c r="G223" s="27"/>
      <c r="H223" s="29"/>
      <c r="I223" s="30"/>
      <c r="J223" s="18" t="str">
        <f aca="false">IF($H223="","",$H223*$I223)</f>
        <v/>
      </c>
      <c r="K223" s="27"/>
      <c r="L223" s="27"/>
      <c r="M223" s="27"/>
      <c r="N223" s="27"/>
    </row>
    <row r="224" customFormat="false" ht="15" hidden="false" customHeight="false" outlineLevel="0" collapsed="false">
      <c r="A224" s="19" t="str">
        <f aca="false">IF($B224="","",ROW()-173)</f>
        <v/>
      </c>
      <c r="B224" s="26"/>
      <c r="C224" s="27"/>
      <c r="D224" s="27"/>
      <c r="E224" s="28"/>
      <c r="F224" s="28"/>
      <c r="G224" s="27"/>
      <c r="H224" s="29"/>
      <c r="I224" s="30"/>
      <c r="J224" s="18" t="str">
        <f aca="false">IF($H224="","",$H224*$I224)</f>
        <v/>
      </c>
      <c r="K224" s="27"/>
      <c r="L224" s="27"/>
      <c r="M224" s="27"/>
      <c r="N224" s="27"/>
    </row>
    <row r="225" customFormat="false" ht="15" hidden="false" customHeight="false" outlineLevel="0" collapsed="false">
      <c r="A225" s="19" t="str">
        <f aca="false">IF($B225="","",ROW()-173)</f>
        <v/>
      </c>
      <c r="B225" s="26"/>
      <c r="C225" s="27"/>
      <c r="D225" s="27"/>
      <c r="E225" s="28"/>
      <c r="F225" s="28"/>
      <c r="G225" s="27"/>
      <c r="H225" s="29"/>
      <c r="I225" s="30"/>
      <c r="J225" s="18" t="str">
        <f aca="false">IF($H225="","",$H225*$I225)</f>
        <v/>
      </c>
      <c r="K225" s="27"/>
      <c r="L225" s="27"/>
      <c r="M225" s="27"/>
      <c r="N225" s="27"/>
    </row>
    <row r="226" customFormat="false" ht="15" hidden="false" customHeight="false" outlineLevel="0" collapsed="false">
      <c r="A226" s="19" t="str">
        <f aca="false">IF($B226="","",ROW()-173)</f>
        <v/>
      </c>
      <c r="B226" s="26"/>
      <c r="C226" s="27"/>
      <c r="D226" s="27"/>
      <c r="E226" s="28"/>
      <c r="F226" s="28"/>
      <c r="G226" s="27"/>
      <c r="H226" s="29"/>
      <c r="I226" s="30"/>
      <c r="J226" s="18" t="str">
        <f aca="false">IF($H226="","",$H226*$I226)</f>
        <v/>
      </c>
      <c r="K226" s="27"/>
      <c r="L226" s="27"/>
      <c r="M226" s="27"/>
      <c r="N226" s="27"/>
    </row>
    <row r="227" customFormat="false" ht="15" hidden="false" customHeight="false" outlineLevel="0" collapsed="false">
      <c r="A227" s="19" t="str">
        <f aca="false">IF($B227="","",ROW()-173)</f>
        <v/>
      </c>
      <c r="B227" s="26"/>
      <c r="C227" s="27"/>
      <c r="D227" s="27"/>
      <c r="E227" s="28"/>
      <c r="F227" s="28"/>
      <c r="G227" s="27"/>
      <c r="H227" s="29"/>
      <c r="I227" s="30"/>
      <c r="J227" s="18" t="str">
        <f aca="false">IF($H227="","",$H227*$I227)</f>
        <v/>
      </c>
      <c r="K227" s="27"/>
      <c r="L227" s="27"/>
      <c r="M227" s="27"/>
      <c r="N227" s="27"/>
    </row>
    <row r="228" customFormat="false" ht="15" hidden="false" customHeight="false" outlineLevel="0" collapsed="false">
      <c r="A228" s="19" t="str">
        <f aca="false">IF($B228="","",ROW()-173)</f>
        <v/>
      </c>
      <c r="B228" s="26"/>
      <c r="C228" s="27"/>
      <c r="D228" s="27"/>
      <c r="E228" s="28"/>
      <c r="F228" s="28"/>
      <c r="G228" s="27"/>
      <c r="H228" s="29"/>
      <c r="I228" s="30"/>
      <c r="J228" s="18" t="str">
        <f aca="false">IF($H228="","",$H228*$I228)</f>
        <v/>
      </c>
      <c r="K228" s="27"/>
      <c r="L228" s="27"/>
      <c r="M228" s="27"/>
      <c r="N228" s="27"/>
    </row>
    <row r="229" customFormat="false" ht="15" hidden="false" customHeight="false" outlineLevel="0" collapsed="false">
      <c r="A229" s="19" t="str">
        <f aca="false">IF($B229="","",ROW()-173)</f>
        <v/>
      </c>
      <c r="B229" s="26"/>
      <c r="C229" s="27"/>
      <c r="D229" s="27"/>
      <c r="E229" s="28"/>
      <c r="F229" s="28"/>
      <c r="G229" s="27"/>
      <c r="H229" s="29"/>
      <c r="I229" s="30"/>
      <c r="J229" s="18" t="str">
        <f aca="false">IF($H229="","",$H229*$I229)</f>
        <v/>
      </c>
      <c r="K229" s="27"/>
      <c r="L229" s="27"/>
      <c r="M229" s="27"/>
      <c r="N229" s="27"/>
    </row>
    <row r="230" customFormat="false" ht="15" hidden="false" customHeight="false" outlineLevel="0" collapsed="false">
      <c r="A230" s="19" t="str">
        <f aca="false">IF($B230="","",ROW()-173)</f>
        <v/>
      </c>
      <c r="B230" s="26"/>
      <c r="C230" s="27"/>
      <c r="D230" s="27"/>
      <c r="E230" s="28"/>
      <c r="F230" s="28"/>
      <c r="G230" s="27"/>
      <c r="H230" s="29"/>
      <c r="I230" s="30"/>
      <c r="J230" s="18" t="str">
        <f aca="false">IF($H230="","",$H230*$I230)</f>
        <v/>
      </c>
      <c r="K230" s="27"/>
      <c r="L230" s="27"/>
      <c r="M230" s="27"/>
      <c r="N230" s="27"/>
    </row>
    <row r="231" customFormat="false" ht="15" hidden="false" customHeight="false" outlineLevel="0" collapsed="false">
      <c r="A231" s="19" t="str">
        <f aca="false">IF($B231="","",ROW()-173)</f>
        <v/>
      </c>
      <c r="B231" s="26"/>
      <c r="C231" s="27"/>
      <c r="D231" s="27"/>
      <c r="E231" s="28"/>
      <c r="F231" s="28"/>
      <c r="G231" s="27"/>
      <c r="H231" s="29"/>
      <c r="I231" s="30"/>
      <c r="J231" s="18" t="str">
        <f aca="false">IF($H231="","",$H231*$I231)</f>
        <v/>
      </c>
      <c r="K231" s="27"/>
      <c r="L231" s="27"/>
      <c r="M231" s="27"/>
      <c r="N231" s="27"/>
    </row>
    <row r="232" customFormat="false" ht="15" hidden="false" customHeight="false" outlineLevel="0" collapsed="false">
      <c r="A232" s="19" t="str">
        <f aca="false">IF($B232="","",ROW()-173)</f>
        <v/>
      </c>
      <c r="B232" s="26"/>
      <c r="C232" s="27"/>
      <c r="D232" s="27"/>
      <c r="E232" s="28"/>
      <c r="F232" s="28"/>
      <c r="G232" s="27"/>
      <c r="H232" s="29"/>
      <c r="I232" s="30"/>
      <c r="J232" s="18" t="str">
        <f aca="false">IF($H232="","",$H232*$I232)</f>
        <v/>
      </c>
      <c r="K232" s="27"/>
      <c r="L232" s="27"/>
      <c r="M232" s="27"/>
      <c r="N232" s="27"/>
    </row>
    <row r="233" customFormat="false" ht="15" hidden="false" customHeight="false" outlineLevel="0" collapsed="false">
      <c r="A233" s="19" t="str">
        <f aca="false">IF($B233="","",ROW()-173)</f>
        <v/>
      </c>
      <c r="B233" s="26"/>
      <c r="C233" s="27"/>
      <c r="D233" s="27"/>
      <c r="E233" s="28"/>
      <c r="F233" s="28"/>
      <c r="G233" s="27"/>
      <c r="H233" s="29"/>
      <c r="I233" s="30"/>
      <c r="J233" s="18" t="str">
        <f aca="false">IF($H233="","",$H233*$I233)</f>
        <v/>
      </c>
      <c r="K233" s="27"/>
      <c r="L233" s="27"/>
      <c r="M233" s="27"/>
      <c r="N233" s="27"/>
    </row>
    <row r="234" customFormat="false" ht="15" hidden="false" customHeight="false" outlineLevel="0" collapsed="false">
      <c r="A234" s="19" t="str">
        <f aca="false">IF($B234="","",ROW()-173)</f>
        <v/>
      </c>
      <c r="B234" s="26"/>
      <c r="C234" s="27"/>
      <c r="D234" s="27"/>
      <c r="E234" s="28"/>
      <c r="F234" s="28"/>
      <c r="G234" s="27"/>
      <c r="H234" s="29"/>
      <c r="I234" s="30"/>
      <c r="J234" s="18" t="str">
        <f aca="false">IF($H234="","",$H234*$I234)</f>
        <v/>
      </c>
      <c r="K234" s="27"/>
      <c r="L234" s="27"/>
      <c r="M234" s="27"/>
      <c r="N234" s="27"/>
    </row>
    <row r="235" customFormat="false" ht="15" hidden="false" customHeight="false" outlineLevel="0" collapsed="false">
      <c r="A235" s="19" t="str">
        <f aca="false">IF($B235="","",ROW()-173)</f>
        <v/>
      </c>
      <c r="B235" s="26"/>
      <c r="C235" s="27"/>
      <c r="D235" s="27"/>
      <c r="E235" s="28"/>
      <c r="F235" s="28"/>
      <c r="G235" s="27"/>
      <c r="H235" s="29"/>
      <c r="I235" s="30"/>
      <c r="J235" s="18" t="str">
        <f aca="false">IF($H235="","",$H235*$I235)</f>
        <v/>
      </c>
      <c r="K235" s="27"/>
      <c r="L235" s="27"/>
      <c r="M235" s="27"/>
      <c r="N235" s="27"/>
    </row>
    <row r="236" customFormat="false" ht="15" hidden="false" customHeight="false" outlineLevel="0" collapsed="false">
      <c r="A236" s="19" t="str">
        <f aca="false">IF($B236="","",ROW()-173)</f>
        <v/>
      </c>
      <c r="B236" s="26"/>
      <c r="C236" s="27"/>
      <c r="D236" s="27"/>
      <c r="E236" s="28"/>
      <c r="F236" s="28"/>
      <c r="G236" s="27"/>
      <c r="H236" s="29"/>
      <c r="I236" s="30"/>
      <c r="J236" s="18" t="str">
        <f aca="false">IF($H236="","",$H236*$I236)</f>
        <v/>
      </c>
      <c r="K236" s="27"/>
      <c r="L236" s="27"/>
      <c r="M236" s="27"/>
      <c r="N236" s="27"/>
    </row>
    <row r="237" customFormat="false" ht="15" hidden="false" customHeight="false" outlineLevel="0" collapsed="false">
      <c r="A237" s="19" t="str">
        <f aca="false">IF($B237="","",ROW()-173)</f>
        <v/>
      </c>
      <c r="B237" s="26"/>
      <c r="C237" s="27"/>
      <c r="D237" s="27"/>
      <c r="E237" s="28"/>
      <c r="F237" s="28"/>
      <c r="G237" s="27"/>
      <c r="H237" s="29"/>
      <c r="I237" s="30"/>
      <c r="J237" s="18" t="str">
        <f aca="false">IF($H237="","",$H237*$I237)</f>
        <v/>
      </c>
      <c r="K237" s="27"/>
      <c r="L237" s="27"/>
      <c r="M237" s="27"/>
      <c r="N237" s="27"/>
    </row>
    <row r="238" customFormat="false" ht="15" hidden="false" customHeight="false" outlineLevel="0" collapsed="false">
      <c r="A238" s="19" t="str">
        <f aca="false">IF($B238="","",ROW()-173)</f>
        <v/>
      </c>
      <c r="B238" s="26"/>
      <c r="C238" s="27"/>
      <c r="D238" s="27"/>
      <c r="E238" s="28"/>
      <c r="F238" s="28"/>
      <c r="G238" s="27"/>
      <c r="H238" s="29"/>
      <c r="I238" s="30"/>
      <c r="J238" s="18" t="str">
        <f aca="false">IF($H238="","",$H238*$I238)</f>
        <v/>
      </c>
      <c r="K238" s="27"/>
      <c r="L238" s="27"/>
      <c r="M238" s="27"/>
      <c r="N238" s="27"/>
    </row>
    <row r="239" customFormat="false" ht="15" hidden="false" customHeight="false" outlineLevel="0" collapsed="false">
      <c r="A239" s="19" t="str">
        <f aca="false">IF($B239="","",ROW()-173)</f>
        <v/>
      </c>
      <c r="B239" s="26"/>
      <c r="C239" s="27"/>
      <c r="D239" s="27"/>
      <c r="E239" s="28"/>
      <c r="F239" s="28"/>
      <c r="G239" s="27"/>
      <c r="H239" s="29"/>
      <c r="I239" s="30"/>
      <c r="J239" s="18" t="str">
        <f aca="false">IF($H239="","",$H239*$I239)</f>
        <v/>
      </c>
      <c r="K239" s="27"/>
      <c r="L239" s="27"/>
      <c r="M239" s="27"/>
      <c r="N239" s="27"/>
    </row>
    <row r="240" customFormat="false" ht="15" hidden="false" customHeight="false" outlineLevel="0" collapsed="false">
      <c r="A240" s="19" t="str">
        <f aca="false">IF($B240="","",ROW()-173)</f>
        <v/>
      </c>
      <c r="B240" s="26"/>
      <c r="C240" s="27"/>
      <c r="D240" s="27"/>
      <c r="E240" s="28"/>
      <c r="F240" s="28"/>
      <c r="G240" s="27"/>
      <c r="H240" s="29"/>
      <c r="I240" s="30"/>
      <c r="J240" s="18" t="str">
        <f aca="false">IF($H240="","",$H240*$I240)</f>
        <v/>
      </c>
      <c r="K240" s="27"/>
      <c r="L240" s="27"/>
      <c r="M240" s="27"/>
      <c r="N240" s="27"/>
    </row>
    <row r="241" customFormat="false" ht="15" hidden="false" customHeight="false" outlineLevel="0" collapsed="false">
      <c r="A241" s="19" t="str">
        <f aca="false">IF($B241="","",ROW()-173)</f>
        <v/>
      </c>
      <c r="B241" s="26"/>
      <c r="C241" s="27"/>
      <c r="D241" s="27"/>
      <c r="E241" s="28"/>
      <c r="F241" s="28"/>
      <c r="G241" s="27"/>
      <c r="H241" s="29"/>
      <c r="I241" s="30"/>
      <c r="J241" s="18" t="str">
        <f aca="false">IF($H241="","",$H241*$I241)</f>
        <v/>
      </c>
      <c r="K241" s="27"/>
      <c r="L241" s="27"/>
      <c r="M241" s="27"/>
      <c r="N241" s="27"/>
    </row>
    <row r="242" customFormat="false" ht="15" hidden="false" customHeight="false" outlineLevel="0" collapsed="false">
      <c r="A242" s="19" t="str">
        <f aca="false">IF($B242="","",ROW()-173)</f>
        <v/>
      </c>
      <c r="B242" s="26"/>
      <c r="C242" s="27"/>
      <c r="D242" s="27"/>
      <c r="E242" s="28"/>
      <c r="F242" s="28"/>
      <c r="G242" s="27"/>
      <c r="H242" s="29"/>
      <c r="I242" s="30"/>
      <c r="J242" s="18" t="str">
        <f aca="false">IF($H242="","",$H242*$I242)</f>
        <v/>
      </c>
      <c r="K242" s="27"/>
      <c r="L242" s="27"/>
      <c r="M242" s="27"/>
      <c r="N242" s="27"/>
    </row>
    <row r="243" customFormat="false" ht="15" hidden="false" customHeight="false" outlineLevel="0" collapsed="false">
      <c r="A243" s="19" t="str">
        <f aca="false">IF($B243="","",ROW()-173)</f>
        <v/>
      </c>
      <c r="B243" s="26"/>
      <c r="C243" s="27"/>
      <c r="D243" s="27"/>
      <c r="E243" s="28"/>
      <c r="F243" s="28"/>
      <c r="G243" s="27"/>
      <c r="H243" s="29"/>
      <c r="I243" s="30"/>
      <c r="J243" s="18" t="str">
        <f aca="false">IF($H243="","",$H243*$I243)</f>
        <v/>
      </c>
      <c r="K243" s="27"/>
      <c r="L243" s="27"/>
      <c r="M243" s="27"/>
      <c r="N243" s="27"/>
    </row>
    <row r="244" customFormat="false" ht="15" hidden="false" customHeight="false" outlineLevel="0" collapsed="false">
      <c r="A244" s="19" t="str">
        <f aca="false">IF($B244="","",ROW()-173)</f>
        <v/>
      </c>
      <c r="B244" s="26"/>
      <c r="C244" s="27"/>
      <c r="D244" s="27"/>
      <c r="E244" s="28"/>
      <c r="F244" s="28"/>
      <c r="G244" s="27"/>
      <c r="H244" s="29"/>
      <c r="I244" s="30"/>
      <c r="J244" s="18" t="str">
        <f aca="false">IF($H244="","",$H244*$I244)</f>
        <v/>
      </c>
      <c r="K244" s="27"/>
      <c r="L244" s="27"/>
      <c r="M244" s="27"/>
      <c r="N244" s="27"/>
    </row>
    <row r="245" customFormat="false" ht="15" hidden="false" customHeight="false" outlineLevel="0" collapsed="false">
      <c r="A245" s="19" t="str">
        <f aca="false">IF($B245="","",ROW()-173)</f>
        <v/>
      </c>
      <c r="B245" s="26"/>
      <c r="C245" s="27"/>
      <c r="D245" s="27"/>
      <c r="E245" s="28"/>
      <c r="F245" s="28"/>
      <c r="G245" s="27"/>
      <c r="H245" s="29"/>
      <c r="I245" s="30"/>
      <c r="J245" s="18" t="str">
        <f aca="false">IF($H245="","",$H245*$I245)</f>
        <v/>
      </c>
      <c r="K245" s="27"/>
      <c r="L245" s="27"/>
      <c r="M245" s="27"/>
      <c r="N245" s="27"/>
    </row>
    <row r="246" customFormat="false" ht="15" hidden="false" customHeight="false" outlineLevel="0" collapsed="false">
      <c r="A246" s="19" t="str">
        <f aca="false">IF($B246="","",ROW()-173)</f>
        <v/>
      </c>
      <c r="B246" s="26"/>
      <c r="C246" s="27"/>
      <c r="D246" s="27"/>
      <c r="E246" s="28"/>
      <c r="F246" s="28"/>
      <c r="G246" s="27"/>
      <c r="H246" s="29"/>
      <c r="I246" s="30"/>
      <c r="J246" s="18" t="str">
        <f aca="false">IF($H246="","",$H246*$I246)</f>
        <v/>
      </c>
      <c r="K246" s="27"/>
      <c r="L246" s="27"/>
      <c r="M246" s="27"/>
      <c r="N246" s="27"/>
    </row>
    <row r="247" customFormat="false" ht="15" hidden="false" customHeight="false" outlineLevel="0" collapsed="false">
      <c r="A247" s="19" t="str">
        <f aca="false">IF($B247="","",ROW()-173)</f>
        <v/>
      </c>
      <c r="B247" s="26"/>
      <c r="C247" s="27"/>
      <c r="D247" s="27"/>
      <c r="E247" s="28"/>
      <c r="F247" s="28"/>
      <c r="G247" s="27"/>
      <c r="H247" s="29"/>
      <c r="I247" s="30"/>
      <c r="J247" s="18" t="str">
        <f aca="false">IF($H247="","",$H247*$I247)</f>
        <v/>
      </c>
      <c r="K247" s="27"/>
      <c r="L247" s="27"/>
      <c r="M247" s="27"/>
      <c r="N247" s="27"/>
    </row>
    <row r="248" customFormat="false" ht="15" hidden="false" customHeight="false" outlineLevel="0" collapsed="false">
      <c r="A248" s="19" t="str">
        <f aca="false">IF($B248="","",ROW()-173)</f>
        <v/>
      </c>
      <c r="B248" s="26"/>
      <c r="C248" s="27"/>
      <c r="D248" s="27"/>
      <c r="E248" s="28"/>
      <c r="F248" s="28"/>
      <c r="G248" s="27"/>
      <c r="H248" s="29"/>
      <c r="I248" s="30"/>
      <c r="J248" s="18" t="str">
        <f aca="false">IF($H248="","",$H248*$I248)</f>
        <v/>
      </c>
      <c r="K248" s="27"/>
      <c r="L248" s="27"/>
      <c r="M248" s="27"/>
      <c r="N248" s="27"/>
    </row>
    <row r="249" customFormat="false" ht="15" hidden="false" customHeight="false" outlineLevel="0" collapsed="false">
      <c r="A249" s="19" t="str">
        <f aca="false">IF($B249="","",ROW()-173)</f>
        <v/>
      </c>
      <c r="B249" s="26"/>
      <c r="C249" s="27"/>
      <c r="D249" s="27"/>
      <c r="E249" s="28"/>
      <c r="F249" s="28"/>
      <c r="G249" s="27"/>
      <c r="H249" s="29"/>
      <c r="I249" s="30"/>
      <c r="J249" s="18" t="str">
        <f aca="false">IF($H249="","",$H249*$I249)</f>
        <v/>
      </c>
      <c r="K249" s="27"/>
      <c r="L249" s="27"/>
      <c r="M249" s="27"/>
      <c r="N249" s="27"/>
    </row>
    <row r="250" customFormat="false" ht="15" hidden="false" customHeight="false" outlineLevel="0" collapsed="false">
      <c r="A250" s="19" t="str">
        <f aca="false">IF($B250="","",ROW()-173)</f>
        <v/>
      </c>
      <c r="B250" s="26"/>
      <c r="C250" s="27"/>
      <c r="D250" s="27"/>
      <c r="E250" s="28"/>
      <c r="F250" s="28"/>
      <c r="G250" s="27"/>
      <c r="H250" s="29"/>
      <c r="I250" s="30"/>
      <c r="J250" s="18" t="str">
        <f aca="false">IF($H250="","",$H250*$I250)</f>
        <v/>
      </c>
      <c r="K250" s="27"/>
      <c r="L250" s="27"/>
      <c r="M250" s="27"/>
      <c r="N250" s="27"/>
    </row>
    <row r="251" customFormat="false" ht="15" hidden="false" customHeight="false" outlineLevel="0" collapsed="false">
      <c r="A251" s="19" t="str">
        <f aca="false">IF($B251="","",ROW()-173)</f>
        <v/>
      </c>
      <c r="B251" s="26"/>
      <c r="C251" s="27"/>
      <c r="D251" s="27"/>
      <c r="E251" s="28"/>
      <c r="F251" s="28"/>
      <c r="G251" s="27"/>
      <c r="H251" s="29"/>
      <c r="I251" s="30"/>
      <c r="J251" s="18" t="str">
        <f aca="false">IF($H251="","",$H251*$I251)</f>
        <v/>
      </c>
      <c r="K251" s="27"/>
      <c r="L251" s="27"/>
      <c r="M251" s="27"/>
      <c r="N251" s="27"/>
    </row>
    <row r="252" customFormat="false" ht="15" hidden="false" customHeight="false" outlineLevel="0" collapsed="false">
      <c r="A252" s="19" t="str">
        <f aca="false">IF($B252="","",ROW()-173)</f>
        <v/>
      </c>
      <c r="B252" s="26"/>
      <c r="C252" s="27"/>
      <c r="D252" s="27"/>
      <c r="E252" s="28"/>
      <c r="F252" s="28"/>
      <c r="G252" s="27"/>
      <c r="H252" s="29"/>
      <c r="I252" s="30"/>
      <c r="J252" s="18" t="str">
        <f aca="false">IF($H252="","",$H252*$I252)</f>
        <v/>
      </c>
      <c r="K252" s="27"/>
      <c r="L252" s="27"/>
      <c r="M252" s="27"/>
      <c r="N252" s="27"/>
    </row>
    <row r="253" customFormat="false" ht="15" hidden="false" customHeight="false" outlineLevel="0" collapsed="false">
      <c r="A253" s="19" t="str">
        <f aca="false">IF($B253="","",ROW()-173)</f>
        <v/>
      </c>
      <c r="B253" s="26"/>
      <c r="C253" s="27"/>
      <c r="D253" s="27"/>
      <c r="E253" s="28"/>
      <c r="F253" s="28"/>
      <c r="G253" s="27"/>
      <c r="H253" s="29"/>
      <c r="I253" s="30"/>
      <c r="J253" s="18" t="str">
        <f aca="false">IF($H253="","",$H253*$I253)</f>
        <v/>
      </c>
      <c r="K253" s="27"/>
      <c r="L253" s="27"/>
      <c r="M253" s="27"/>
      <c r="N253" s="27"/>
    </row>
    <row r="254" customFormat="false" ht="21.75" hidden="false" customHeight="true" outlineLevel="0" collapsed="false">
      <c r="A254" s="33" t="s">
        <v>117</v>
      </c>
      <c r="B254" s="33"/>
      <c r="C254" s="33"/>
      <c r="D254" s="33"/>
      <c r="E254" s="33"/>
      <c r="F254" s="33"/>
      <c r="G254" s="33"/>
      <c r="H254" s="33"/>
      <c r="I254" s="33"/>
      <c r="J254" s="33"/>
      <c r="K254" s="34" t="n">
        <f aca="false">SUM($J$256:$J$335)</f>
        <v>0</v>
      </c>
      <c r="L254" s="34"/>
      <c r="M254" s="34"/>
      <c r="N254" s="34"/>
    </row>
    <row r="255" customFormat="false" ht="27.75" hidden="false" customHeight="true" outlineLevel="0" collapsed="false">
      <c r="A255" s="14" t="s">
        <v>37</v>
      </c>
      <c r="B255" s="14" t="s">
        <v>38</v>
      </c>
      <c r="C255" s="14" t="s">
        <v>39</v>
      </c>
      <c r="D255" s="14" t="s">
        <v>40</v>
      </c>
      <c r="E255" s="14" t="s">
        <v>41</v>
      </c>
      <c r="F255" s="14" t="s">
        <v>42</v>
      </c>
      <c r="G255" s="14" t="s">
        <v>43</v>
      </c>
      <c r="H255" s="14" t="s">
        <v>44</v>
      </c>
      <c r="I255" s="14" t="s">
        <v>45</v>
      </c>
      <c r="J255" s="14" t="s">
        <v>46</v>
      </c>
      <c r="K255" s="14" t="s">
        <v>47</v>
      </c>
      <c r="L255" s="14" t="s">
        <v>48</v>
      </c>
      <c r="M255" s="14" t="s">
        <v>49</v>
      </c>
      <c r="N255" s="14" t="s">
        <v>50</v>
      </c>
    </row>
    <row r="256" customFormat="false" ht="15" hidden="false" customHeight="false" outlineLevel="0" collapsed="false">
      <c r="A256" s="19" t="str">
        <f aca="false">IF($B256="","",ROW()-255)</f>
        <v/>
      </c>
      <c r="B256" s="26"/>
      <c r="C256" s="27"/>
      <c r="D256" s="27"/>
      <c r="E256" s="28"/>
      <c r="F256" s="28"/>
      <c r="G256" s="27"/>
      <c r="H256" s="29"/>
      <c r="I256" s="30"/>
      <c r="J256" s="18" t="str">
        <f aca="false">IF($H256="","",$H256*$I256)</f>
        <v/>
      </c>
      <c r="K256" s="27"/>
      <c r="L256" s="27"/>
      <c r="M256" s="27"/>
      <c r="N256" s="27"/>
    </row>
    <row r="257" customFormat="false" ht="15" hidden="false" customHeight="false" outlineLevel="0" collapsed="false">
      <c r="A257" s="19" t="str">
        <f aca="false">IF($B257="","",ROW()-255)</f>
        <v/>
      </c>
      <c r="B257" s="26"/>
      <c r="C257" s="27"/>
      <c r="D257" s="27"/>
      <c r="E257" s="28"/>
      <c r="F257" s="28"/>
      <c r="G257" s="27"/>
      <c r="H257" s="29"/>
      <c r="I257" s="30"/>
      <c r="J257" s="18" t="str">
        <f aca="false">IF($H257="","",$H257*$I257)</f>
        <v/>
      </c>
      <c r="K257" s="27"/>
      <c r="L257" s="27"/>
      <c r="M257" s="27"/>
      <c r="N257" s="27"/>
    </row>
    <row r="258" customFormat="false" ht="15" hidden="false" customHeight="false" outlineLevel="0" collapsed="false">
      <c r="A258" s="19" t="str">
        <f aca="false">IF($B258="","",ROW()-255)</f>
        <v/>
      </c>
      <c r="B258" s="26"/>
      <c r="C258" s="27"/>
      <c r="D258" s="27"/>
      <c r="E258" s="28"/>
      <c r="F258" s="28"/>
      <c r="G258" s="27"/>
      <c r="H258" s="29"/>
      <c r="I258" s="30"/>
      <c r="J258" s="18" t="str">
        <f aca="false">IF($H258="","",$H258*$I258)</f>
        <v/>
      </c>
      <c r="K258" s="27"/>
      <c r="L258" s="27"/>
      <c r="M258" s="27"/>
      <c r="N258" s="27"/>
    </row>
    <row r="259" customFormat="false" ht="15" hidden="false" customHeight="false" outlineLevel="0" collapsed="false">
      <c r="A259" s="19" t="str">
        <f aca="false">IF($B259="","",ROW()-255)</f>
        <v/>
      </c>
      <c r="B259" s="26"/>
      <c r="C259" s="27"/>
      <c r="D259" s="27"/>
      <c r="E259" s="28"/>
      <c r="F259" s="28"/>
      <c r="G259" s="27"/>
      <c r="H259" s="29"/>
      <c r="I259" s="30"/>
      <c r="J259" s="18" t="str">
        <f aca="false">IF($H259="","",$H259*$I259)</f>
        <v/>
      </c>
      <c r="K259" s="27"/>
      <c r="L259" s="27"/>
      <c r="M259" s="27"/>
      <c r="N259" s="27"/>
    </row>
    <row r="260" customFormat="false" ht="15" hidden="false" customHeight="false" outlineLevel="0" collapsed="false">
      <c r="A260" s="19" t="str">
        <f aca="false">IF($B260="","",ROW()-255)</f>
        <v/>
      </c>
      <c r="B260" s="26"/>
      <c r="C260" s="27"/>
      <c r="D260" s="27"/>
      <c r="E260" s="28"/>
      <c r="F260" s="28"/>
      <c r="G260" s="27"/>
      <c r="H260" s="29"/>
      <c r="I260" s="30"/>
      <c r="J260" s="18" t="str">
        <f aca="false">IF($H260="","",$H260*$I260)</f>
        <v/>
      </c>
      <c r="K260" s="27"/>
      <c r="L260" s="27"/>
      <c r="M260" s="27"/>
      <c r="N260" s="27"/>
    </row>
    <row r="261" customFormat="false" ht="15" hidden="false" customHeight="false" outlineLevel="0" collapsed="false">
      <c r="A261" s="19" t="str">
        <f aca="false">IF($B261="","",ROW()-255)</f>
        <v/>
      </c>
      <c r="B261" s="26"/>
      <c r="C261" s="27"/>
      <c r="D261" s="27"/>
      <c r="E261" s="28"/>
      <c r="F261" s="28"/>
      <c r="G261" s="27"/>
      <c r="H261" s="29"/>
      <c r="I261" s="30"/>
      <c r="J261" s="18" t="str">
        <f aca="false">IF($H261="","",$H261*$I261)</f>
        <v/>
      </c>
      <c r="K261" s="27"/>
      <c r="L261" s="27"/>
      <c r="M261" s="27"/>
      <c r="N261" s="27"/>
    </row>
    <row r="262" customFormat="false" ht="15" hidden="false" customHeight="false" outlineLevel="0" collapsed="false">
      <c r="A262" s="19" t="str">
        <f aca="false">IF($B262="","",ROW()-255)</f>
        <v/>
      </c>
      <c r="B262" s="26"/>
      <c r="C262" s="27"/>
      <c r="D262" s="27"/>
      <c r="E262" s="28"/>
      <c r="F262" s="28"/>
      <c r="G262" s="27"/>
      <c r="H262" s="29"/>
      <c r="I262" s="30"/>
      <c r="J262" s="18" t="str">
        <f aca="false">IF($H262="","",$H262*$I262)</f>
        <v/>
      </c>
      <c r="K262" s="27"/>
      <c r="L262" s="27"/>
      <c r="M262" s="27"/>
      <c r="N262" s="27"/>
    </row>
    <row r="263" customFormat="false" ht="15" hidden="false" customHeight="false" outlineLevel="0" collapsed="false">
      <c r="A263" s="19" t="str">
        <f aca="false">IF($B263="","",ROW()-255)</f>
        <v/>
      </c>
      <c r="B263" s="26"/>
      <c r="C263" s="27"/>
      <c r="D263" s="27"/>
      <c r="E263" s="28"/>
      <c r="F263" s="28"/>
      <c r="G263" s="27"/>
      <c r="H263" s="29"/>
      <c r="I263" s="30"/>
      <c r="J263" s="18" t="str">
        <f aca="false">IF($H263="","",$H263*$I263)</f>
        <v/>
      </c>
      <c r="K263" s="27"/>
      <c r="L263" s="27"/>
      <c r="M263" s="27"/>
      <c r="N263" s="27"/>
    </row>
    <row r="264" customFormat="false" ht="15" hidden="false" customHeight="false" outlineLevel="0" collapsed="false">
      <c r="A264" s="19" t="str">
        <f aca="false">IF($B264="","",ROW()-255)</f>
        <v/>
      </c>
      <c r="B264" s="26"/>
      <c r="C264" s="27"/>
      <c r="D264" s="27"/>
      <c r="E264" s="28"/>
      <c r="F264" s="28"/>
      <c r="G264" s="27"/>
      <c r="H264" s="29"/>
      <c r="I264" s="30"/>
      <c r="J264" s="18" t="str">
        <f aca="false">IF($H264="","",$H264*$I264)</f>
        <v/>
      </c>
      <c r="K264" s="27"/>
      <c r="L264" s="27"/>
      <c r="M264" s="27"/>
      <c r="N264" s="27"/>
    </row>
    <row r="265" customFormat="false" ht="15" hidden="false" customHeight="false" outlineLevel="0" collapsed="false">
      <c r="A265" s="19" t="str">
        <f aca="false">IF($B265="","",ROW()-255)</f>
        <v/>
      </c>
      <c r="B265" s="26"/>
      <c r="C265" s="27"/>
      <c r="D265" s="27"/>
      <c r="E265" s="28"/>
      <c r="F265" s="28"/>
      <c r="G265" s="27"/>
      <c r="H265" s="29"/>
      <c r="I265" s="30"/>
      <c r="J265" s="18" t="str">
        <f aca="false">IF($H265="","",$H265*$I265)</f>
        <v/>
      </c>
      <c r="K265" s="27"/>
      <c r="L265" s="27"/>
      <c r="M265" s="27"/>
      <c r="N265" s="27"/>
    </row>
    <row r="266" customFormat="false" ht="15" hidden="false" customHeight="false" outlineLevel="0" collapsed="false">
      <c r="A266" s="19" t="str">
        <f aca="false">IF($B266="","",ROW()-255)</f>
        <v/>
      </c>
      <c r="B266" s="26"/>
      <c r="C266" s="27"/>
      <c r="D266" s="27"/>
      <c r="E266" s="28"/>
      <c r="F266" s="28"/>
      <c r="G266" s="27"/>
      <c r="H266" s="29"/>
      <c r="I266" s="30"/>
      <c r="J266" s="18" t="str">
        <f aca="false">IF($H266="","",$H266*$I266)</f>
        <v/>
      </c>
      <c r="K266" s="27"/>
      <c r="L266" s="27"/>
      <c r="M266" s="27"/>
      <c r="N266" s="27"/>
    </row>
    <row r="267" customFormat="false" ht="15" hidden="false" customHeight="false" outlineLevel="0" collapsed="false">
      <c r="A267" s="19" t="str">
        <f aca="false">IF($B267="","",ROW()-255)</f>
        <v/>
      </c>
      <c r="B267" s="26"/>
      <c r="C267" s="27"/>
      <c r="D267" s="27"/>
      <c r="E267" s="28"/>
      <c r="F267" s="28"/>
      <c r="G267" s="27"/>
      <c r="H267" s="29"/>
      <c r="I267" s="30"/>
      <c r="J267" s="18" t="str">
        <f aca="false">IF($H267="","",$H267*$I267)</f>
        <v/>
      </c>
      <c r="K267" s="27"/>
      <c r="L267" s="27"/>
      <c r="M267" s="27"/>
      <c r="N267" s="27"/>
    </row>
    <row r="268" customFormat="false" ht="15" hidden="false" customHeight="false" outlineLevel="0" collapsed="false">
      <c r="A268" s="19" t="str">
        <f aca="false">IF($B268="","",ROW()-255)</f>
        <v/>
      </c>
      <c r="B268" s="26"/>
      <c r="C268" s="27"/>
      <c r="D268" s="27"/>
      <c r="E268" s="28"/>
      <c r="F268" s="28"/>
      <c r="G268" s="27"/>
      <c r="H268" s="29"/>
      <c r="I268" s="30"/>
      <c r="J268" s="18" t="str">
        <f aca="false">IF($H268="","",$H268*$I268)</f>
        <v/>
      </c>
      <c r="K268" s="27"/>
      <c r="L268" s="27"/>
      <c r="M268" s="27"/>
      <c r="N268" s="27"/>
    </row>
    <row r="269" customFormat="false" ht="15" hidden="false" customHeight="false" outlineLevel="0" collapsed="false">
      <c r="A269" s="19" t="str">
        <f aca="false">IF($B269="","",ROW()-255)</f>
        <v/>
      </c>
      <c r="B269" s="26"/>
      <c r="C269" s="27"/>
      <c r="D269" s="27"/>
      <c r="E269" s="28"/>
      <c r="F269" s="28"/>
      <c r="G269" s="27"/>
      <c r="H269" s="29"/>
      <c r="I269" s="30"/>
      <c r="J269" s="18" t="str">
        <f aca="false">IF($H269="","",$H269*$I269)</f>
        <v/>
      </c>
      <c r="K269" s="27"/>
      <c r="L269" s="27"/>
      <c r="M269" s="27"/>
      <c r="N269" s="27"/>
    </row>
    <row r="270" customFormat="false" ht="15" hidden="false" customHeight="false" outlineLevel="0" collapsed="false">
      <c r="A270" s="19" t="str">
        <f aca="false">IF($B270="","",ROW()-255)</f>
        <v/>
      </c>
      <c r="B270" s="26"/>
      <c r="C270" s="27"/>
      <c r="D270" s="27"/>
      <c r="E270" s="28"/>
      <c r="F270" s="28"/>
      <c r="G270" s="27"/>
      <c r="H270" s="29"/>
      <c r="I270" s="30"/>
      <c r="J270" s="18" t="str">
        <f aca="false">IF($H270="","",$H270*$I270)</f>
        <v/>
      </c>
      <c r="K270" s="27"/>
      <c r="L270" s="27"/>
      <c r="M270" s="27"/>
      <c r="N270" s="27"/>
    </row>
    <row r="271" customFormat="false" ht="15" hidden="false" customHeight="false" outlineLevel="0" collapsed="false">
      <c r="A271" s="19" t="str">
        <f aca="false">IF($B271="","",ROW()-255)</f>
        <v/>
      </c>
      <c r="B271" s="26"/>
      <c r="C271" s="27"/>
      <c r="D271" s="27"/>
      <c r="E271" s="28"/>
      <c r="F271" s="28"/>
      <c r="G271" s="27"/>
      <c r="H271" s="29"/>
      <c r="I271" s="30"/>
      <c r="J271" s="18" t="str">
        <f aca="false">IF($H271="","",$H271*$I271)</f>
        <v/>
      </c>
      <c r="K271" s="27"/>
      <c r="L271" s="27"/>
      <c r="M271" s="27"/>
      <c r="N271" s="27"/>
    </row>
    <row r="272" customFormat="false" ht="15" hidden="false" customHeight="false" outlineLevel="0" collapsed="false">
      <c r="A272" s="19" t="str">
        <f aca="false">IF($B272="","",ROW()-255)</f>
        <v/>
      </c>
      <c r="B272" s="26"/>
      <c r="C272" s="27"/>
      <c r="D272" s="27"/>
      <c r="E272" s="28"/>
      <c r="F272" s="28"/>
      <c r="G272" s="27"/>
      <c r="H272" s="29"/>
      <c r="I272" s="30"/>
      <c r="J272" s="18" t="str">
        <f aca="false">IF($H272="","",$H272*$I272)</f>
        <v/>
      </c>
      <c r="K272" s="27"/>
      <c r="L272" s="27"/>
      <c r="M272" s="27"/>
      <c r="N272" s="27"/>
    </row>
    <row r="273" customFormat="false" ht="15" hidden="false" customHeight="false" outlineLevel="0" collapsed="false">
      <c r="A273" s="19" t="str">
        <f aca="false">IF($B273="","",ROW()-255)</f>
        <v/>
      </c>
      <c r="B273" s="26"/>
      <c r="C273" s="27"/>
      <c r="D273" s="27"/>
      <c r="E273" s="28"/>
      <c r="F273" s="28"/>
      <c r="G273" s="27"/>
      <c r="H273" s="29"/>
      <c r="I273" s="30"/>
      <c r="J273" s="18" t="str">
        <f aca="false">IF($H273="","",$H273*$I273)</f>
        <v/>
      </c>
      <c r="K273" s="27"/>
      <c r="L273" s="27"/>
      <c r="M273" s="27"/>
      <c r="N273" s="27"/>
    </row>
    <row r="274" customFormat="false" ht="15" hidden="false" customHeight="false" outlineLevel="0" collapsed="false">
      <c r="A274" s="19" t="str">
        <f aca="false">IF($B274="","",ROW()-255)</f>
        <v/>
      </c>
      <c r="B274" s="26"/>
      <c r="C274" s="27"/>
      <c r="D274" s="27"/>
      <c r="E274" s="28"/>
      <c r="F274" s="28"/>
      <c r="G274" s="27"/>
      <c r="H274" s="29"/>
      <c r="I274" s="30"/>
      <c r="J274" s="18" t="str">
        <f aca="false">IF($H274="","",$H274*$I274)</f>
        <v/>
      </c>
      <c r="K274" s="27"/>
      <c r="L274" s="27"/>
      <c r="M274" s="27"/>
      <c r="N274" s="27"/>
    </row>
    <row r="275" customFormat="false" ht="15" hidden="false" customHeight="false" outlineLevel="0" collapsed="false">
      <c r="A275" s="19" t="str">
        <f aca="false">IF($B275="","",ROW()-255)</f>
        <v/>
      </c>
      <c r="B275" s="26"/>
      <c r="C275" s="27"/>
      <c r="D275" s="27"/>
      <c r="E275" s="28"/>
      <c r="F275" s="28"/>
      <c r="G275" s="27"/>
      <c r="H275" s="29"/>
      <c r="I275" s="30"/>
      <c r="J275" s="18" t="str">
        <f aca="false">IF($H275="","",$H275*$I275)</f>
        <v/>
      </c>
      <c r="K275" s="27"/>
      <c r="L275" s="27"/>
      <c r="M275" s="27"/>
      <c r="N275" s="27"/>
    </row>
    <row r="276" customFormat="false" ht="15" hidden="false" customHeight="false" outlineLevel="0" collapsed="false">
      <c r="A276" s="19" t="str">
        <f aca="false">IF($B276="","",ROW()-255)</f>
        <v/>
      </c>
      <c r="B276" s="26"/>
      <c r="C276" s="27"/>
      <c r="D276" s="27"/>
      <c r="E276" s="28"/>
      <c r="F276" s="28"/>
      <c r="G276" s="27"/>
      <c r="H276" s="29"/>
      <c r="I276" s="30"/>
      <c r="J276" s="18" t="str">
        <f aca="false">IF($H276="","",$H276*$I276)</f>
        <v/>
      </c>
      <c r="K276" s="27"/>
      <c r="L276" s="27"/>
      <c r="M276" s="27"/>
      <c r="N276" s="27"/>
    </row>
    <row r="277" customFormat="false" ht="15" hidden="false" customHeight="false" outlineLevel="0" collapsed="false">
      <c r="A277" s="19" t="str">
        <f aca="false">IF($B277="","",ROW()-255)</f>
        <v/>
      </c>
      <c r="B277" s="26"/>
      <c r="C277" s="27"/>
      <c r="D277" s="27"/>
      <c r="E277" s="28"/>
      <c r="F277" s="28"/>
      <c r="G277" s="27"/>
      <c r="H277" s="29"/>
      <c r="I277" s="30"/>
      <c r="J277" s="18" t="str">
        <f aca="false">IF($H277="","",$H277*$I277)</f>
        <v/>
      </c>
      <c r="K277" s="27"/>
      <c r="L277" s="27"/>
      <c r="M277" s="27"/>
      <c r="N277" s="27"/>
    </row>
    <row r="278" customFormat="false" ht="15" hidden="false" customHeight="false" outlineLevel="0" collapsed="false">
      <c r="A278" s="19" t="str">
        <f aca="false">IF($B278="","",ROW()-255)</f>
        <v/>
      </c>
      <c r="B278" s="26"/>
      <c r="C278" s="27"/>
      <c r="D278" s="27"/>
      <c r="E278" s="28"/>
      <c r="F278" s="28"/>
      <c r="G278" s="27"/>
      <c r="H278" s="29"/>
      <c r="I278" s="30"/>
      <c r="J278" s="18" t="str">
        <f aca="false">IF($H278="","",$H278*$I278)</f>
        <v/>
      </c>
      <c r="K278" s="27"/>
      <c r="L278" s="27"/>
      <c r="M278" s="27"/>
      <c r="N278" s="27"/>
    </row>
    <row r="279" customFormat="false" ht="15" hidden="false" customHeight="false" outlineLevel="0" collapsed="false">
      <c r="A279" s="19" t="str">
        <f aca="false">IF($B279="","",ROW()-255)</f>
        <v/>
      </c>
      <c r="B279" s="26"/>
      <c r="C279" s="27"/>
      <c r="D279" s="27"/>
      <c r="E279" s="28"/>
      <c r="F279" s="28"/>
      <c r="G279" s="27"/>
      <c r="H279" s="29"/>
      <c r="I279" s="30"/>
      <c r="J279" s="18" t="str">
        <f aca="false">IF($H279="","",$H279*$I279)</f>
        <v/>
      </c>
      <c r="K279" s="27"/>
      <c r="L279" s="27"/>
      <c r="M279" s="27"/>
      <c r="N279" s="27"/>
    </row>
    <row r="280" customFormat="false" ht="15" hidden="false" customHeight="false" outlineLevel="0" collapsed="false">
      <c r="A280" s="19" t="str">
        <f aca="false">IF($B280="","",ROW()-255)</f>
        <v/>
      </c>
      <c r="B280" s="26"/>
      <c r="C280" s="27"/>
      <c r="D280" s="27"/>
      <c r="E280" s="28"/>
      <c r="F280" s="28"/>
      <c r="G280" s="27"/>
      <c r="H280" s="29"/>
      <c r="I280" s="30"/>
      <c r="J280" s="18" t="str">
        <f aca="false">IF($H280="","",$H280*$I280)</f>
        <v/>
      </c>
      <c r="K280" s="27"/>
      <c r="L280" s="27"/>
      <c r="M280" s="27"/>
      <c r="N280" s="27"/>
    </row>
    <row r="281" customFormat="false" ht="15" hidden="false" customHeight="false" outlineLevel="0" collapsed="false">
      <c r="A281" s="19" t="str">
        <f aca="false">IF($B281="","",ROW()-255)</f>
        <v/>
      </c>
      <c r="B281" s="26"/>
      <c r="C281" s="27"/>
      <c r="D281" s="27"/>
      <c r="E281" s="28"/>
      <c r="F281" s="28"/>
      <c r="G281" s="27"/>
      <c r="H281" s="29"/>
      <c r="I281" s="30"/>
      <c r="J281" s="18" t="str">
        <f aca="false">IF($H281="","",$H281*$I281)</f>
        <v/>
      </c>
      <c r="K281" s="27"/>
      <c r="L281" s="27"/>
      <c r="M281" s="27"/>
      <c r="N281" s="27"/>
    </row>
    <row r="282" customFormat="false" ht="15" hidden="false" customHeight="false" outlineLevel="0" collapsed="false">
      <c r="A282" s="19" t="str">
        <f aca="false">IF($B282="","",ROW()-255)</f>
        <v/>
      </c>
      <c r="B282" s="26"/>
      <c r="C282" s="27"/>
      <c r="D282" s="27"/>
      <c r="E282" s="28"/>
      <c r="F282" s="28"/>
      <c r="G282" s="27"/>
      <c r="H282" s="29"/>
      <c r="I282" s="30"/>
      <c r="J282" s="18" t="str">
        <f aca="false">IF($H282="","",$H282*$I282)</f>
        <v/>
      </c>
      <c r="K282" s="27"/>
      <c r="L282" s="27"/>
      <c r="M282" s="27"/>
      <c r="N282" s="27"/>
    </row>
    <row r="283" customFormat="false" ht="15" hidden="false" customHeight="false" outlineLevel="0" collapsed="false">
      <c r="A283" s="19" t="str">
        <f aca="false">IF($B283="","",ROW()-255)</f>
        <v/>
      </c>
      <c r="B283" s="26"/>
      <c r="C283" s="27"/>
      <c r="D283" s="27"/>
      <c r="E283" s="28"/>
      <c r="F283" s="28"/>
      <c r="G283" s="27"/>
      <c r="H283" s="29"/>
      <c r="I283" s="30"/>
      <c r="J283" s="18" t="str">
        <f aca="false">IF($H283="","",$H283*$I283)</f>
        <v/>
      </c>
      <c r="K283" s="27"/>
      <c r="L283" s="27"/>
      <c r="M283" s="27"/>
      <c r="N283" s="27"/>
    </row>
    <row r="284" customFormat="false" ht="15" hidden="false" customHeight="false" outlineLevel="0" collapsed="false">
      <c r="A284" s="19" t="str">
        <f aca="false">IF($B284="","",ROW()-255)</f>
        <v/>
      </c>
      <c r="B284" s="26"/>
      <c r="C284" s="27"/>
      <c r="D284" s="27"/>
      <c r="E284" s="28"/>
      <c r="F284" s="28"/>
      <c r="G284" s="27"/>
      <c r="H284" s="29"/>
      <c r="I284" s="30"/>
      <c r="J284" s="18" t="str">
        <f aca="false">IF($H284="","",$H284*$I284)</f>
        <v/>
      </c>
      <c r="K284" s="27"/>
      <c r="L284" s="27"/>
      <c r="M284" s="27"/>
      <c r="N284" s="27"/>
    </row>
    <row r="285" customFormat="false" ht="15" hidden="false" customHeight="false" outlineLevel="0" collapsed="false">
      <c r="A285" s="19" t="str">
        <f aca="false">IF($B285="","",ROW()-255)</f>
        <v/>
      </c>
      <c r="B285" s="26"/>
      <c r="C285" s="27"/>
      <c r="D285" s="27"/>
      <c r="E285" s="28"/>
      <c r="F285" s="28"/>
      <c r="G285" s="27"/>
      <c r="H285" s="29"/>
      <c r="I285" s="30"/>
      <c r="J285" s="18" t="str">
        <f aca="false">IF($H285="","",$H285*$I285)</f>
        <v/>
      </c>
      <c r="K285" s="27"/>
      <c r="L285" s="27"/>
      <c r="M285" s="27"/>
      <c r="N285" s="27"/>
    </row>
    <row r="286" customFormat="false" ht="15" hidden="false" customHeight="false" outlineLevel="0" collapsed="false">
      <c r="A286" s="19" t="str">
        <f aca="false">IF($B286="","",ROW()-255)</f>
        <v/>
      </c>
      <c r="B286" s="26"/>
      <c r="C286" s="27"/>
      <c r="D286" s="27"/>
      <c r="E286" s="28"/>
      <c r="F286" s="28"/>
      <c r="G286" s="27"/>
      <c r="H286" s="29"/>
      <c r="I286" s="30"/>
      <c r="J286" s="18" t="str">
        <f aca="false">IF($H286="","",$H286*$I286)</f>
        <v/>
      </c>
      <c r="K286" s="27"/>
      <c r="L286" s="27"/>
      <c r="M286" s="27"/>
      <c r="N286" s="27"/>
    </row>
    <row r="287" customFormat="false" ht="15" hidden="false" customHeight="false" outlineLevel="0" collapsed="false">
      <c r="A287" s="19" t="str">
        <f aca="false">IF($B287="","",ROW()-255)</f>
        <v/>
      </c>
      <c r="B287" s="26"/>
      <c r="C287" s="27"/>
      <c r="D287" s="27"/>
      <c r="E287" s="28"/>
      <c r="F287" s="28"/>
      <c r="G287" s="27"/>
      <c r="H287" s="29"/>
      <c r="I287" s="30"/>
      <c r="J287" s="18" t="str">
        <f aca="false">IF($H287="","",$H287*$I287)</f>
        <v/>
      </c>
      <c r="K287" s="27"/>
      <c r="L287" s="27"/>
      <c r="M287" s="27"/>
      <c r="N287" s="27"/>
    </row>
    <row r="288" customFormat="false" ht="15" hidden="false" customHeight="false" outlineLevel="0" collapsed="false">
      <c r="A288" s="19" t="str">
        <f aca="false">IF($B288="","",ROW()-255)</f>
        <v/>
      </c>
      <c r="B288" s="26"/>
      <c r="C288" s="27"/>
      <c r="D288" s="27"/>
      <c r="E288" s="28"/>
      <c r="F288" s="28"/>
      <c r="G288" s="27"/>
      <c r="H288" s="29"/>
      <c r="I288" s="30"/>
      <c r="J288" s="18" t="str">
        <f aca="false">IF($H288="","",$H288*$I288)</f>
        <v/>
      </c>
      <c r="K288" s="27"/>
      <c r="L288" s="27"/>
      <c r="M288" s="27"/>
      <c r="N288" s="27"/>
    </row>
    <row r="289" customFormat="false" ht="15" hidden="false" customHeight="false" outlineLevel="0" collapsed="false">
      <c r="A289" s="19" t="str">
        <f aca="false">IF($B289="","",ROW()-255)</f>
        <v/>
      </c>
      <c r="B289" s="26"/>
      <c r="C289" s="27"/>
      <c r="D289" s="27"/>
      <c r="E289" s="28"/>
      <c r="F289" s="28"/>
      <c r="G289" s="27"/>
      <c r="H289" s="29"/>
      <c r="I289" s="30"/>
      <c r="J289" s="18" t="str">
        <f aca="false">IF($H289="","",$H289*$I289)</f>
        <v/>
      </c>
      <c r="K289" s="27"/>
      <c r="L289" s="27"/>
      <c r="M289" s="27"/>
      <c r="N289" s="27"/>
    </row>
    <row r="290" customFormat="false" ht="15" hidden="false" customHeight="false" outlineLevel="0" collapsed="false">
      <c r="A290" s="19" t="str">
        <f aca="false">IF($B290="","",ROW()-255)</f>
        <v/>
      </c>
      <c r="B290" s="26"/>
      <c r="C290" s="27"/>
      <c r="D290" s="27"/>
      <c r="E290" s="28"/>
      <c r="F290" s="28"/>
      <c r="G290" s="27"/>
      <c r="H290" s="29"/>
      <c r="I290" s="30"/>
      <c r="J290" s="18" t="str">
        <f aca="false">IF($H290="","",$H290*$I290)</f>
        <v/>
      </c>
      <c r="K290" s="27"/>
      <c r="L290" s="27"/>
      <c r="M290" s="27"/>
      <c r="N290" s="27"/>
    </row>
    <row r="291" customFormat="false" ht="15" hidden="false" customHeight="false" outlineLevel="0" collapsed="false">
      <c r="A291" s="19" t="str">
        <f aca="false">IF($B291="","",ROW()-255)</f>
        <v/>
      </c>
      <c r="B291" s="26"/>
      <c r="C291" s="27"/>
      <c r="D291" s="27"/>
      <c r="E291" s="28"/>
      <c r="F291" s="28"/>
      <c r="G291" s="27"/>
      <c r="H291" s="29"/>
      <c r="I291" s="30"/>
      <c r="J291" s="18" t="str">
        <f aca="false">IF($H291="","",$H291*$I291)</f>
        <v/>
      </c>
      <c r="K291" s="27"/>
      <c r="L291" s="27"/>
      <c r="M291" s="27"/>
      <c r="N291" s="27"/>
    </row>
    <row r="292" customFormat="false" ht="15" hidden="false" customHeight="false" outlineLevel="0" collapsed="false">
      <c r="A292" s="19" t="str">
        <f aca="false">IF($B292="","",ROW()-255)</f>
        <v/>
      </c>
      <c r="B292" s="26"/>
      <c r="C292" s="27"/>
      <c r="D292" s="27"/>
      <c r="E292" s="28"/>
      <c r="F292" s="28"/>
      <c r="G292" s="27"/>
      <c r="H292" s="29"/>
      <c r="I292" s="30"/>
      <c r="J292" s="18" t="str">
        <f aca="false">IF($H292="","",$H292*$I292)</f>
        <v/>
      </c>
      <c r="K292" s="27"/>
      <c r="L292" s="27"/>
      <c r="M292" s="27"/>
      <c r="N292" s="27"/>
    </row>
    <row r="293" customFormat="false" ht="15" hidden="false" customHeight="false" outlineLevel="0" collapsed="false">
      <c r="A293" s="19" t="str">
        <f aca="false">IF($B293="","",ROW()-255)</f>
        <v/>
      </c>
      <c r="B293" s="26"/>
      <c r="C293" s="27"/>
      <c r="D293" s="27"/>
      <c r="E293" s="28"/>
      <c r="F293" s="28"/>
      <c r="G293" s="27"/>
      <c r="H293" s="29"/>
      <c r="I293" s="30"/>
      <c r="J293" s="18" t="str">
        <f aca="false">IF($H293="","",$H293*$I293)</f>
        <v/>
      </c>
      <c r="K293" s="27"/>
      <c r="L293" s="27"/>
      <c r="M293" s="27"/>
      <c r="N293" s="27"/>
    </row>
    <row r="294" customFormat="false" ht="15" hidden="false" customHeight="false" outlineLevel="0" collapsed="false">
      <c r="A294" s="19" t="str">
        <f aca="false">IF($B294="","",ROW()-255)</f>
        <v/>
      </c>
      <c r="B294" s="26"/>
      <c r="C294" s="27"/>
      <c r="D294" s="27"/>
      <c r="E294" s="28"/>
      <c r="F294" s="28"/>
      <c r="G294" s="27"/>
      <c r="H294" s="29"/>
      <c r="I294" s="30"/>
      <c r="J294" s="18" t="str">
        <f aca="false">IF($H294="","",$H294*$I294)</f>
        <v/>
      </c>
      <c r="K294" s="27"/>
      <c r="L294" s="27"/>
      <c r="M294" s="27"/>
      <c r="N294" s="27"/>
    </row>
    <row r="295" customFormat="false" ht="15" hidden="false" customHeight="false" outlineLevel="0" collapsed="false">
      <c r="A295" s="19" t="str">
        <f aca="false">IF($B295="","",ROW()-255)</f>
        <v/>
      </c>
      <c r="B295" s="26"/>
      <c r="C295" s="27"/>
      <c r="D295" s="27"/>
      <c r="E295" s="28"/>
      <c r="F295" s="28"/>
      <c r="G295" s="27"/>
      <c r="H295" s="29"/>
      <c r="I295" s="30"/>
      <c r="J295" s="18" t="str">
        <f aca="false">IF($H295="","",$H295*$I295)</f>
        <v/>
      </c>
      <c r="K295" s="27"/>
      <c r="L295" s="27"/>
      <c r="M295" s="27"/>
      <c r="N295" s="27"/>
    </row>
    <row r="296" customFormat="false" ht="15" hidden="false" customHeight="false" outlineLevel="0" collapsed="false">
      <c r="A296" s="19" t="str">
        <f aca="false">IF($B296="","",ROW()-255)</f>
        <v/>
      </c>
      <c r="B296" s="26"/>
      <c r="C296" s="27"/>
      <c r="D296" s="27"/>
      <c r="E296" s="28"/>
      <c r="F296" s="28"/>
      <c r="G296" s="27"/>
      <c r="H296" s="29"/>
      <c r="I296" s="30"/>
      <c r="J296" s="18" t="str">
        <f aca="false">IF($H296="","",$H296*$I296)</f>
        <v/>
      </c>
      <c r="K296" s="27"/>
      <c r="L296" s="27"/>
      <c r="M296" s="27"/>
      <c r="N296" s="27"/>
    </row>
    <row r="297" customFormat="false" ht="15" hidden="false" customHeight="false" outlineLevel="0" collapsed="false">
      <c r="A297" s="19" t="str">
        <f aca="false">IF($B297="","",ROW()-255)</f>
        <v/>
      </c>
      <c r="B297" s="26"/>
      <c r="C297" s="27"/>
      <c r="D297" s="27"/>
      <c r="E297" s="28"/>
      <c r="F297" s="28"/>
      <c r="G297" s="27"/>
      <c r="H297" s="29"/>
      <c r="I297" s="30"/>
      <c r="J297" s="18" t="str">
        <f aca="false">IF($H297="","",$H297*$I297)</f>
        <v/>
      </c>
      <c r="K297" s="27"/>
      <c r="L297" s="27"/>
      <c r="M297" s="27"/>
      <c r="N297" s="27"/>
    </row>
    <row r="298" customFormat="false" ht="15" hidden="false" customHeight="false" outlineLevel="0" collapsed="false">
      <c r="A298" s="19" t="str">
        <f aca="false">IF($B298="","",ROW()-255)</f>
        <v/>
      </c>
      <c r="B298" s="26"/>
      <c r="C298" s="27"/>
      <c r="D298" s="27"/>
      <c r="E298" s="28"/>
      <c r="F298" s="28"/>
      <c r="G298" s="27"/>
      <c r="H298" s="29"/>
      <c r="I298" s="30"/>
      <c r="J298" s="18" t="str">
        <f aca="false">IF($H298="","",$H298*$I298)</f>
        <v/>
      </c>
      <c r="K298" s="27"/>
      <c r="L298" s="27"/>
      <c r="M298" s="27"/>
      <c r="N298" s="27"/>
    </row>
    <row r="299" customFormat="false" ht="15" hidden="false" customHeight="false" outlineLevel="0" collapsed="false">
      <c r="A299" s="19" t="str">
        <f aca="false">IF($B299="","",ROW()-255)</f>
        <v/>
      </c>
      <c r="B299" s="26"/>
      <c r="C299" s="27"/>
      <c r="D299" s="27"/>
      <c r="E299" s="28"/>
      <c r="F299" s="28"/>
      <c r="G299" s="27"/>
      <c r="H299" s="29"/>
      <c r="I299" s="30"/>
      <c r="J299" s="18" t="str">
        <f aca="false">IF($H299="","",$H299*$I299)</f>
        <v/>
      </c>
      <c r="K299" s="27"/>
      <c r="L299" s="27"/>
      <c r="M299" s="27"/>
      <c r="N299" s="27"/>
    </row>
    <row r="300" customFormat="false" ht="15" hidden="false" customHeight="false" outlineLevel="0" collapsed="false">
      <c r="A300" s="19" t="str">
        <f aca="false">IF($B300="","",ROW()-255)</f>
        <v/>
      </c>
      <c r="B300" s="26"/>
      <c r="C300" s="27"/>
      <c r="D300" s="27"/>
      <c r="E300" s="28"/>
      <c r="F300" s="28"/>
      <c r="G300" s="27"/>
      <c r="H300" s="29"/>
      <c r="I300" s="30"/>
      <c r="J300" s="18" t="str">
        <f aca="false">IF($H300="","",$H300*$I300)</f>
        <v/>
      </c>
      <c r="K300" s="27"/>
      <c r="L300" s="27"/>
      <c r="M300" s="27"/>
      <c r="N300" s="27"/>
    </row>
    <row r="301" customFormat="false" ht="15" hidden="false" customHeight="false" outlineLevel="0" collapsed="false">
      <c r="A301" s="19" t="str">
        <f aca="false">IF($B301="","",ROW()-255)</f>
        <v/>
      </c>
      <c r="B301" s="26"/>
      <c r="C301" s="27"/>
      <c r="D301" s="27"/>
      <c r="E301" s="28"/>
      <c r="F301" s="28"/>
      <c r="G301" s="27"/>
      <c r="H301" s="29"/>
      <c r="I301" s="30"/>
      <c r="J301" s="18" t="str">
        <f aca="false">IF($H301="","",$H301*$I301)</f>
        <v/>
      </c>
      <c r="K301" s="27"/>
      <c r="L301" s="27"/>
      <c r="M301" s="27"/>
      <c r="N301" s="27"/>
    </row>
    <row r="302" customFormat="false" ht="15" hidden="false" customHeight="false" outlineLevel="0" collapsed="false">
      <c r="A302" s="19" t="str">
        <f aca="false">IF($B302="","",ROW()-255)</f>
        <v/>
      </c>
      <c r="B302" s="26"/>
      <c r="C302" s="27"/>
      <c r="D302" s="27"/>
      <c r="E302" s="28"/>
      <c r="F302" s="28"/>
      <c r="G302" s="27"/>
      <c r="H302" s="29"/>
      <c r="I302" s="30"/>
      <c r="J302" s="18" t="str">
        <f aca="false">IF($H302="","",$H302*$I302)</f>
        <v/>
      </c>
      <c r="K302" s="27"/>
      <c r="L302" s="27"/>
      <c r="M302" s="27"/>
      <c r="N302" s="27"/>
    </row>
    <row r="303" customFormat="false" ht="15" hidden="false" customHeight="false" outlineLevel="0" collapsed="false">
      <c r="A303" s="19" t="str">
        <f aca="false">IF($B303="","",ROW()-255)</f>
        <v/>
      </c>
      <c r="B303" s="26"/>
      <c r="C303" s="27"/>
      <c r="D303" s="27"/>
      <c r="E303" s="28"/>
      <c r="F303" s="28"/>
      <c r="G303" s="27"/>
      <c r="H303" s="29"/>
      <c r="I303" s="30"/>
      <c r="J303" s="18" t="str">
        <f aca="false">IF($H303="","",$H303*$I303)</f>
        <v/>
      </c>
      <c r="K303" s="27"/>
      <c r="L303" s="27"/>
      <c r="M303" s="27"/>
      <c r="N303" s="27"/>
    </row>
    <row r="304" customFormat="false" ht="15" hidden="false" customHeight="false" outlineLevel="0" collapsed="false">
      <c r="A304" s="19" t="str">
        <f aca="false">IF($B304="","",ROW()-255)</f>
        <v/>
      </c>
      <c r="B304" s="26"/>
      <c r="C304" s="27"/>
      <c r="D304" s="27"/>
      <c r="E304" s="28"/>
      <c r="F304" s="28"/>
      <c r="G304" s="27"/>
      <c r="H304" s="29"/>
      <c r="I304" s="30"/>
      <c r="J304" s="18" t="str">
        <f aca="false">IF($H304="","",$H304*$I304)</f>
        <v/>
      </c>
      <c r="K304" s="27"/>
      <c r="L304" s="27"/>
      <c r="M304" s="27"/>
      <c r="N304" s="27"/>
    </row>
    <row r="305" customFormat="false" ht="15" hidden="false" customHeight="false" outlineLevel="0" collapsed="false">
      <c r="A305" s="19" t="str">
        <f aca="false">IF($B305="","",ROW()-255)</f>
        <v/>
      </c>
      <c r="B305" s="26"/>
      <c r="C305" s="27"/>
      <c r="D305" s="27"/>
      <c r="E305" s="28"/>
      <c r="F305" s="28"/>
      <c r="G305" s="27"/>
      <c r="H305" s="29"/>
      <c r="I305" s="30"/>
      <c r="J305" s="18" t="str">
        <f aca="false">IF($H305="","",$H305*$I305)</f>
        <v/>
      </c>
      <c r="K305" s="27"/>
      <c r="L305" s="27"/>
      <c r="M305" s="27"/>
      <c r="N305" s="27"/>
    </row>
    <row r="306" customFormat="false" ht="15" hidden="false" customHeight="false" outlineLevel="0" collapsed="false">
      <c r="A306" s="19" t="str">
        <f aca="false">IF($B306="","",ROW()-255)</f>
        <v/>
      </c>
      <c r="B306" s="26"/>
      <c r="C306" s="27"/>
      <c r="D306" s="27"/>
      <c r="E306" s="28"/>
      <c r="F306" s="28"/>
      <c r="G306" s="27"/>
      <c r="H306" s="29"/>
      <c r="I306" s="30"/>
      <c r="J306" s="18" t="str">
        <f aca="false">IF($H306="","",$H306*$I306)</f>
        <v/>
      </c>
      <c r="K306" s="27"/>
      <c r="L306" s="27"/>
      <c r="M306" s="27"/>
      <c r="N306" s="27"/>
    </row>
    <row r="307" customFormat="false" ht="15" hidden="false" customHeight="false" outlineLevel="0" collapsed="false">
      <c r="A307" s="19" t="str">
        <f aca="false">IF($B307="","",ROW()-255)</f>
        <v/>
      </c>
      <c r="B307" s="26"/>
      <c r="C307" s="27"/>
      <c r="D307" s="27"/>
      <c r="E307" s="28"/>
      <c r="F307" s="28"/>
      <c r="G307" s="27"/>
      <c r="H307" s="29"/>
      <c r="I307" s="30"/>
      <c r="J307" s="18" t="str">
        <f aca="false">IF($H307="","",$H307*$I307)</f>
        <v/>
      </c>
      <c r="K307" s="27"/>
      <c r="L307" s="27"/>
      <c r="M307" s="27"/>
      <c r="N307" s="27"/>
    </row>
    <row r="308" customFormat="false" ht="15" hidden="false" customHeight="false" outlineLevel="0" collapsed="false">
      <c r="A308" s="19" t="str">
        <f aca="false">IF($B308="","",ROW()-255)</f>
        <v/>
      </c>
      <c r="B308" s="26"/>
      <c r="C308" s="27"/>
      <c r="D308" s="27"/>
      <c r="E308" s="28"/>
      <c r="F308" s="28"/>
      <c r="G308" s="27"/>
      <c r="H308" s="29"/>
      <c r="I308" s="30"/>
      <c r="J308" s="18" t="str">
        <f aca="false">IF($H308="","",$H308*$I308)</f>
        <v/>
      </c>
      <c r="K308" s="27"/>
      <c r="L308" s="27"/>
      <c r="M308" s="27"/>
      <c r="N308" s="27"/>
    </row>
    <row r="309" customFormat="false" ht="15" hidden="false" customHeight="false" outlineLevel="0" collapsed="false">
      <c r="A309" s="19" t="str">
        <f aca="false">IF($B309="","",ROW()-255)</f>
        <v/>
      </c>
      <c r="B309" s="26"/>
      <c r="C309" s="27"/>
      <c r="D309" s="27"/>
      <c r="E309" s="28"/>
      <c r="F309" s="28"/>
      <c r="G309" s="27"/>
      <c r="H309" s="29"/>
      <c r="I309" s="30"/>
      <c r="J309" s="18" t="str">
        <f aca="false">IF($H309="","",$H309*$I309)</f>
        <v/>
      </c>
      <c r="K309" s="27"/>
      <c r="L309" s="27"/>
      <c r="M309" s="27"/>
      <c r="N309" s="27"/>
    </row>
    <row r="310" customFormat="false" ht="15" hidden="false" customHeight="false" outlineLevel="0" collapsed="false">
      <c r="A310" s="19" t="str">
        <f aca="false">IF($B310="","",ROW()-255)</f>
        <v/>
      </c>
      <c r="B310" s="26"/>
      <c r="C310" s="27"/>
      <c r="D310" s="27"/>
      <c r="E310" s="28"/>
      <c r="F310" s="28"/>
      <c r="G310" s="27"/>
      <c r="H310" s="29"/>
      <c r="I310" s="30"/>
      <c r="J310" s="18" t="str">
        <f aca="false">IF($H310="","",$H310*$I310)</f>
        <v/>
      </c>
      <c r="K310" s="27"/>
      <c r="L310" s="27"/>
      <c r="M310" s="27"/>
      <c r="N310" s="27"/>
    </row>
    <row r="311" customFormat="false" ht="15" hidden="false" customHeight="false" outlineLevel="0" collapsed="false">
      <c r="A311" s="19" t="str">
        <f aca="false">IF($B311="","",ROW()-255)</f>
        <v/>
      </c>
      <c r="B311" s="26"/>
      <c r="C311" s="27"/>
      <c r="D311" s="27"/>
      <c r="E311" s="28"/>
      <c r="F311" s="28"/>
      <c r="G311" s="27"/>
      <c r="H311" s="29"/>
      <c r="I311" s="30"/>
      <c r="J311" s="18" t="str">
        <f aca="false">IF($H311="","",$H311*$I311)</f>
        <v/>
      </c>
      <c r="K311" s="27"/>
      <c r="L311" s="27"/>
      <c r="M311" s="27"/>
      <c r="N311" s="27"/>
    </row>
    <row r="312" customFormat="false" ht="15" hidden="false" customHeight="false" outlineLevel="0" collapsed="false">
      <c r="A312" s="19" t="str">
        <f aca="false">IF($B312="","",ROW()-255)</f>
        <v/>
      </c>
      <c r="B312" s="26"/>
      <c r="C312" s="27"/>
      <c r="D312" s="27"/>
      <c r="E312" s="28"/>
      <c r="F312" s="28"/>
      <c r="G312" s="27"/>
      <c r="H312" s="29"/>
      <c r="I312" s="30"/>
      <c r="J312" s="18" t="str">
        <f aca="false">IF($H312="","",$H312*$I312)</f>
        <v/>
      </c>
      <c r="K312" s="27"/>
      <c r="L312" s="27"/>
      <c r="M312" s="27"/>
      <c r="N312" s="27"/>
    </row>
    <row r="313" customFormat="false" ht="15" hidden="false" customHeight="false" outlineLevel="0" collapsed="false">
      <c r="A313" s="19" t="str">
        <f aca="false">IF($B313="","",ROW()-255)</f>
        <v/>
      </c>
      <c r="B313" s="26"/>
      <c r="C313" s="27"/>
      <c r="D313" s="27"/>
      <c r="E313" s="28"/>
      <c r="F313" s="28"/>
      <c r="G313" s="27"/>
      <c r="H313" s="29"/>
      <c r="I313" s="30"/>
      <c r="J313" s="18" t="str">
        <f aca="false">IF($H313="","",$H313*$I313)</f>
        <v/>
      </c>
      <c r="K313" s="27"/>
      <c r="L313" s="27"/>
      <c r="M313" s="27"/>
      <c r="N313" s="27"/>
    </row>
    <row r="314" customFormat="false" ht="15" hidden="false" customHeight="false" outlineLevel="0" collapsed="false">
      <c r="A314" s="19" t="str">
        <f aca="false">IF($B314="","",ROW()-255)</f>
        <v/>
      </c>
      <c r="B314" s="26"/>
      <c r="C314" s="27"/>
      <c r="D314" s="27"/>
      <c r="E314" s="28"/>
      <c r="F314" s="28"/>
      <c r="G314" s="27"/>
      <c r="H314" s="29"/>
      <c r="I314" s="30"/>
      <c r="J314" s="18" t="str">
        <f aca="false">IF($H314="","",$H314*$I314)</f>
        <v/>
      </c>
      <c r="K314" s="27"/>
      <c r="L314" s="27"/>
      <c r="M314" s="27"/>
      <c r="N314" s="27"/>
    </row>
    <row r="315" customFormat="false" ht="15" hidden="false" customHeight="false" outlineLevel="0" collapsed="false">
      <c r="A315" s="19" t="str">
        <f aca="false">IF($B315="","",ROW()-255)</f>
        <v/>
      </c>
      <c r="B315" s="26"/>
      <c r="C315" s="27"/>
      <c r="D315" s="27"/>
      <c r="E315" s="28"/>
      <c r="F315" s="28"/>
      <c r="G315" s="27"/>
      <c r="H315" s="29"/>
      <c r="I315" s="30"/>
      <c r="J315" s="18" t="str">
        <f aca="false">IF($H315="","",$H315*$I315)</f>
        <v/>
      </c>
      <c r="K315" s="27"/>
      <c r="L315" s="27"/>
      <c r="M315" s="27"/>
      <c r="N315" s="27"/>
    </row>
    <row r="316" customFormat="false" ht="15" hidden="false" customHeight="false" outlineLevel="0" collapsed="false">
      <c r="A316" s="19" t="str">
        <f aca="false">IF($B316="","",ROW()-255)</f>
        <v/>
      </c>
      <c r="B316" s="26"/>
      <c r="C316" s="27"/>
      <c r="D316" s="27"/>
      <c r="E316" s="28"/>
      <c r="F316" s="28"/>
      <c r="G316" s="27"/>
      <c r="H316" s="29"/>
      <c r="I316" s="30"/>
      <c r="J316" s="18" t="str">
        <f aca="false">IF($H316="","",$H316*$I316)</f>
        <v/>
      </c>
      <c r="K316" s="27"/>
      <c r="L316" s="27"/>
      <c r="M316" s="27"/>
      <c r="N316" s="27"/>
    </row>
    <row r="317" customFormat="false" ht="15" hidden="false" customHeight="false" outlineLevel="0" collapsed="false">
      <c r="A317" s="19" t="str">
        <f aca="false">IF($B317="","",ROW()-255)</f>
        <v/>
      </c>
      <c r="B317" s="26"/>
      <c r="C317" s="27"/>
      <c r="D317" s="27"/>
      <c r="E317" s="28"/>
      <c r="F317" s="28"/>
      <c r="G317" s="27"/>
      <c r="H317" s="29"/>
      <c r="I317" s="30"/>
      <c r="J317" s="18" t="str">
        <f aca="false">IF($H317="","",$H317*$I317)</f>
        <v/>
      </c>
      <c r="K317" s="27"/>
      <c r="L317" s="27"/>
      <c r="M317" s="27"/>
      <c r="N317" s="27"/>
    </row>
    <row r="318" customFormat="false" ht="15" hidden="false" customHeight="false" outlineLevel="0" collapsed="false">
      <c r="A318" s="19" t="str">
        <f aca="false">IF($B318="","",ROW()-255)</f>
        <v/>
      </c>
      <c r="B318" s="26"/>
      <c r="C318" s="27"/>
      <c r="D318" s="27"/>
      <c r="E318" s="28"/>
      <c r="F318" s="28"/>
      <c r="G318" s="27"/>
      <c r="H318" s="29"/>
      <c r="I318" s="30"/>
      <c r="J318" s="18" t="str">
        <f aca="false">IF($H318="","",$H318*$I318)</f>
        <v/>
      </c>
      <c r="K318" s="27"/>
      <c r="L318" s="27"/>
      <c r="M318" s="27"/>
      <c r="N318" s="27"/>
    </row>
    <row r="319" customFormat="false" ht="15" hidden="false" customHeight="false" outlineLevel="0" collapsed="false">
      <c r="A319" s="19" t="str">
        <f aca="false">IF($B319="","",ROW()-255)</f>
        <v/>
      </c>
      <c r="B319" s="26"/>
      <c r="C319" s="27"/>
      <c r="D319" s="27"/>
      <c r="E319" s="28"/>
      <c r="F319" s="28"/>
      <c r="G319" s="27"/>
      <c r="H319" s="29"/>
      <c r="I319" s="30"/>
      <c r="J319" s="18" t="str">
        <f aca="false">IF($H319="","",$H319*$I319)</f>
        <v/>
      </c>
      <c r="K319" s="27"/>
      <c r="L319" s="27"/>
      <c r="M319" s="27"/>
      <c r="N319" s="27"/>
    </row>
    <row r="320" customFormat="false" ht="15" hidden="false" customHeight="false" outlineLevel="0" collapsed="false">
      <c r="A320" s="19" t="str">
        <f aca="false">IF($B320="","",ROW()-255)</f>
        <v/>
      </c>
      <c r="B320" s="26"/>
      <c r="C320" s="27"/>
      <c r="D320" s="27"/>
      <c r="E320" s="28"/>
      <c r="F320" s="28"/>
      <c r="G320" s="27"/>
      <c r="H320" s="29"/>
      <c r="I320" s="30"/>
      <c r="J320" s="18" t="str">
        <f aca="false">IF($H320="","",$H320*$I320)</f>
        <v/>
      </c>
      <c r="K320" s="27"/>
      <c r="L320" s="27"/>
      <c r="M320" s="27"/>
      <c r="N320" s="27"/>
    </row>
    <row r="321" customFormat="false" ht="15" hidden="false" customHeight="false" outlineLevel="0" collapsed="false">
      <c r="A321" s="19" t="str">
        <f aca="false">IF($B321="","",ROW()-255)</f>
        <v/>
      </c>
      <c r="B321" s="26"/>
      <c r="C321" s="27"/>
      <c r="D321" s="27"/>
      <c r="E321" s="28"/>
      <c r="F321" s="28"/>
      <c r="G321" s="27"/>
      <c r="H321" s="29"/>
      <c r="I321" s="30"/>
      <c r="J321" s="18" t="str">
        <f aca="false">IF($H321="","",$H321*$I321)</f>
        <v/>
      </c>
      <c r="K321" s="27"/>
      <c r="L321" s="27"/>
      <c r="M321" s="27"/>
      <c r="N321" s="27"/>
    </row>
    <row r="322" customFormat="false" ht="15" hidden="false" customHeight="false" outlineLevel="0" collapsed="false">
      <c r="A322" s="19" t="str">
        <f aca="false">IF($B322="","",ROW()-255)</f>
        <v/>
      </c>
      <c r="B322" s="26"/>
      <c r="C322" s="27"/>
      <c r="D322" s="27"/>
      <c r="E322" s="28"/>
      <c r="F322" s="28"/>
      <c r="G322" s="27"/>
      <c r="H322" s="29"/>
      <c r="I322" s="30"/>
      <c r="J322" s="18" t="str">
        <f aca="false">IF($H322="","",$H322*$I322)</f>
        <v/>
      </c>
      <c r="K322" s="27"/>
      <c r="L322" s="27"/>
      <c r="M322" s="27"/>
      <c r="N322" s="27"/>
    </row>
    <row r="323" customFormat="false" ht="15" hidden="false" customHeight="false" outlineLevel="0" collapsed="false">
      <c r="A323" s="19" t="str">
        <f aca="false">IF($B323="","",ROW()-255)</f>
        <v/>
      </c>
      <c r="B323" s="26"/>
      <c r="C323" s="27"/>
      <c r="D323" s="27"/>
      <c r="E323" s="28"/>
      <c r="F323" s="28"/>
      <c r="G323" s="27"/>
      <c r="H323" s="29"/>
      <c r="I323" s="30"/>
      <c r="J323" s="18" t="str">
        <f aca="false">IF($H323="","",$H323*$I323)</f>
        <v/>
      </c>
      <c r="K323" s="27"/>
      <c r="L323" s="27"/>
      <c r="M323" s="27"/>
      <c r="N323" s="27"/>
    </row>
    <row r="324" customFormat="false" ht="15" hidden="false" customHeight="false" outlineLevel="0" collapsed="false">
      <c r="A324" s="19" t="str">
        <f aca="false">IF($B324="","",ROW()-255)</f>
        <v/>
      </c>
      <c r="B324" s="26"/>
      <c r="C324" s="27"/>
      <c r="D324" s="27"/>
      <c r="E324" s="28"/>
      <c r="F324" s="28"/>
      <c r="G324" s="27"/>
      <c r="H324" s="29"/>
      <c r="I324" s="30"/>
      <c r="J324" s="18" t="str">
        <f aca="false">IF($H324="","",$H324*$I324)</f>
        <v/>
      </c>
      <c r="K324" s="27"/>
      <c r="L324" s="27"/>
      <c r="M324" s="27"/>
      <c r="N324" s="27"/>
    </row>
    <row r="325" customFormat="false" ht="15" hidden="false" customHeight="false" outlineLevel="0" collapsed="false">
      <c r="A325" s="19" t="str">
        <f aca="false">IF($B325="","",ROW()-255)</f>
        <v/>
      </c>
      <c r="B325" s="26"/>
      <c r="C325" s="27"/>
      <c r="D325" s="27"/>
      <c r="E325" s="28"/>
      <c r="F325" s="28"/>
      <c r="G325" s="27"/>
      <c r="H325" s="29"/>
      <c r="I325" s="30"/>
      <c r="J325" s="18" t="str">
        <f aca="false">IF($H325="","",$H325*$I325)</f>
        <v/>
      </c>
      <c r="K325" s="27"/>
      <c r="L325" s="27"/>
      <c r="M325" s="27"/>
      <c r="N325" s="27"/>
    </row>
    <row r="326" customFormat="false" ht="15" hidden="false" customHeight="false" outlineLevel="0" collapsed="false">
      <c r="A326" s="19" t="str">
        <f aca="false">IF($B326="","",ROW()-255)</f>
        <v/>
      </c>
      <c r="B326" s="26"/>
      <c r="C326" s="27"/>
      <c r="D326" s="27"/>
      <c r="E326" s="28"/>
      <c r="F326" s="28"/>
      <c r="G326" s="27"/>
      <c r="H326" s="29"/>
      <c r="I326" s="30"/>
      <c r="J326" s="18" t="str">
        <f aca="false">IF($H326="","",$H326*$I326)</f>
        <v/>
      </c>
      <c r="K326" s="27"/>
      <c r="L326" s="27"/>
      <c r="M326" s="27"/>
      <c r="N326" s="27"/>
    </row>
    <row r="327" customFormat="false" ht="15" hidden="false" customHeight="false" outlineLevel="0" collapsed="false">
      <c r="A327" s="19" t="str">
        <f aca="false">IF($B327="","",ROW()-255)</f>
        <v/>
      </c>
      <c r="B327" s="26"/>
      <c r="C327" s="27"/>
      <c r="D327" s="27"/>
      <c r="E327" s="28"/>
      <c r="F327" s="28"/>
      <c r="G327" s="27"/>
      <c r="H327" s="29"/>
      <c r="I327" s="30"/>
      <c r="J327" s="18" t="str">
        <f aca="false">IF($H327="","",$H327*$I327)</f>
        <v/>
      </c>
      <c r="K327" s="27"/>
      <c r="L327" s="27"/>
      <c r="M327" s="27"/>
      <c r="N327" s="27"/>
    </row>
    <row r="328" customFormat="false" ht="15" hidden="false" customHeight="false" outlineLevel="0" collapsed="false">
      <c r="A328" s="19" t="str">
        <f aca="false">IF($B328="","",ROW()-255)</f>
        <v/>
      </c>
      <c r="B328" s="26"/>
      <c r="C328" s="27"/>
      <c r="D328" s="27"/>
      <c r="E328" s="28"/>
      <c r="F328" s="28"/>
      <c r="G328" s="27"/>
      <c r="H328" s="29"/>
      <c r="I328" s="30"/>
      <c r="J328" s="18" t="str">
        <f aca="false">IF($H328="","",$H328*$I328)</f>
        <v/>
      </c>
      <c r="K328" s="27"/>
      <c r="L328" s="27"/>
      <c r="M328" s="27"/>
      <c r="N328" s="27"/>
    </row>
    <row r="329" customFormat="false" ht="15" hidden="false" customHeight="false" outlineLevel="0" collapsed="false">
      <c r="A329" s="19" t="str">
        <f aca="false">IF($B329="","",ROW()-255)</f>
        <v/>
      </c>
      <c r="B329" s="26"/>
      <c r="C329" s="27"/>
      <c r="D329" s="27"/>
      <c r="E329" s="28"/>
      <c r="F329" s="28"/>
      <c r="G329" s="27"/>
      <c r="H329" s="29"/>
      <c r="I329" s="30"/>
      <c r="J329" s="18" t="str">
        <f aca="false">IF($H329="","",$H329*$I329)</f>
        <v/>
      </c>
      <c r="K329" s="27"/>
      <c r="L329" s="27"/>
      <c r="M329" s="27"/>
      <c r="N329" s="27"/>
    </row>
    <row r="330" customFormat="false" ht="15" hidden="false" customHeight="false" outlineLevel="0" collapsed="false">
      <c r="A330" s="19" t="str">
        <f aca="false">IF($B330="","",ROW()-255)</f>
        <v/>
      </c>
      <c r="B330" s="26"/>
      <c r="C330" s="27"/>
      <c r="D330" s="27"/>
      <c r="E330" s="28"/>
      <c r="F330" s="28"/>
      <c r="G330" s="27"/>
      <c r="H330" s="29"/>
      <c r="I330" s="30"/>
      <c r="J330" s="18" t="str">
        <f aca="false">IF($H330="","",$H330*$I330)</f>
        <v/>
      </c>
      <c r="K330" s="27"/>
      <c r="L330" s="27"/>
      <c r="M330" s="27"/>
      <c r="N330" s="27"/>
    </row>
    <row r="331" customFormat="false" ht="15" hidden="false" customHeight="false" outlineLevel="0" collapsed="false">
      <c r="A331" s="19" t="str">
        <f aca="false">IF($B331="","",ROW()-255)</f>
        <v/>
      </c>
      <c r="B331" s="26"/>
      <c r="C331" s="27"/>
      <c r="D331" s="27"/>
      <c r="E331" s="28"/>
      <c r="F331" s="28"/>
      <c r="G331" s="27"/>
      <c r="H331" s="29"/>
      <c r="I331" s="30"/>
      <c r="J331" s="18" t="str">
        <f aca="false">IF($H331="","",$H331*$I331)</f>
        <v/>
      </c>
      <c r="K331" s="27"/>
      <c r="L331" s="27"/>
      <c r="M331" s="27"/>
      <c r="N331" s="27"/>
    </row>
    <row r="332" customFormat="false" ht="15" hidden="false" customHeight="false" outlineLevel="0" collapsed="false">
      <c r="A332" s="19" t="str">
        <f aca="false">IF($B332="","",ROW()-255)</f>
        <v/>
      </c>
      <c r="B332" s="26"/>
      <c r="C332" s="27"/>
      <c r="D332" s="27"/>
      <c r="E332" s="28"/>
      <c r="F332" s="28"/>
      <c r="G332" s="27"/>
      <c r="H332" s="29"/>
      <c r="I332" s="30"/>
      <c r="J332" s="18" t="str">
        <f aca="false">IF($H332="","",$H332*$I332)</f>
        <v/>
      </c>
      <c r="K332" s="27"/>
      <c r="L332" s="27"/>
      <c r="M332" s="27"/>
      <c r="N332" s="27"/>
    </row>
    <row r="333" customFormat="false" ht="15" hidden="false" customHeight="false" outlineLevel="0" collapsed="false">
      <c r="A333" s="19" t="str">
        <f aca="false">IF($B333="","",ROW()-255)</f>
        <v/>
      </c>
      <c r="B333" s="26"/>
      <c r="C333" s="27"/>
      <c r="D333" s="27"/>
      <c r="E333" s="28"/>
      <c r="F333" s="28"/>
      <c r="G333" s="27"/>
      <c r="H333" s="29"/>
      <c r="I333" s="30"/>
      <c r="J333" s="18" t="str">
        <f aca="false">IF($H333="","",$H333*$I333)</f>
        <v/>
      </c>
      <c r="K333" s="27"/>
      <c r="L333" s="27"/>
      <c r="M333" s="27"/>
      <c r="N333" s="27"/>
    </row>
    <row r="334" customFormat="false" ht="15" hidden="false" customHeight="false" outlineLevel="0" collapsed="false">
      <c r="A334" s="19" t="str">
        <f aca="false">IF($B334="","",ROW()-255)</f>
        <v/>
      </c>
      <c r="B334" s="26"/>
      <c r="C334" s="27"/>
      <c r="D334" s="27"/>
      <c r="E334" s="28"/>
      <c r="F334" s="28"/>
      <c r="G334" s="27"/>
      <c r="H334" s="29"/>
      <c r="I334" s="30"/>
      <c r="J334" s="18" t="str">
        <f aca="false">IF($H334="","",$H334*$I334)</f>
        <v/>
      </c>
      <c r="K334" s="27"/>
      <c r="L334" s="27"/>
      <c r="M334" s="27"/>
      <c r="N334" s="27"/>
    </row>
    <row r="335" customFormat="false" ht="15" hidden="false" customHeight="false" outlineLevel="0" collapsed="false">
      <c r="A335" s="19" t="str">
        <f aca="false">IF($B335="","",ROW()-255)</f>
        <v/>
      </c>
      <c r="B335" s="26"/>
      <c r="C335" s="27"/>
      <c r="D335" s="27"/>
      <c r="E335" s="28"/>
      <c r="F335" s="28"/>
      <c r="G335" s="27"/>
      <c r="H335" s="29"/>
      <c r="I335" s="30"/>
      <c r="J335" s="18" t="str">
        <f aca="false">IF($H335="","",$H335*$I335)</f>
        <v/>
      </c>
      <c r="K335" s="27"/>
      <c r="L335" s="27"/>
      <c r="M335" s="27"/>
      <c r="N335" s="27"/>
    </row>
  </sheetData>
  <mergeCells count="13">
    <mergeCell ref="A1:N1"/>
    <mergeCell ref="B3:C3"/>
    <mergeCell ref="B4:C4"/>
    <mergeCell ref="B5:C5"/>
    <mergeCell ref="P6:Q6"/>
    <mergeCell ref="A8:J8"/>
    <mergeCell ref="K8:N8"/>
    <mergeCell ref="A90:J90"/>
    <mergeCell ref="K90:N90"/>
    <mergeCell ref="A172:J172"/>
    <mergeCell ref="K172:N172"/>
    <mergeCell ref="A254:J254"/>
    <mergeCell ref="K254:N254"/>
  </mergeCells>
  <conditionalFormatting sqref="L10:L335">
    <cfRule type="cellIs" priority="2" operator="equal" aboveAverage="0" equalAverage="0" bottom="0" percent="0" rank="0" text="" dxfId="0">
      <formula>"Đã chuyển khoản"</formula>
    </cfRule>
    <cfRule type="cellIs" priority="3" operator="equal" aboveAverage="0" equalAverage="0" bottom="0" percent="0" rank="0" text="" dxfId="1">
      <formula>"Chưa chuyển khoản"</formula>
    </cfRule>
  </conditionalFormatting>
  <dataValidations count="1">
    <dataValidation allowBlank="true" error="Chọn: Đã chuyển khoản hoặc Chưa chuyển khoản" errorStyle="stop" operator="between" showDropDown="false" showErrorMessage="false" showInputMessage="false" sqref="L10:L89 L92:L171 L174:L253 L256:L335" type="list">
      <formula1>"Đã chuyển khoản,Chưa chuyển khoản"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4" min="3" style="0" width="13"/>
    <col collapsed="false" customWidth="true" hidden="false" outlineLevel="0" max="5" min="5" style="0" width="17"/>
    <col collapsed="false" customWidth="true" hidden="false" outlineLevel="0" max="6" min="6" style="0" width="22"/>
    <col collapsed="false" customWidth="true" hidden="false" outlineLevel="0" max="9" min="7" style="0" width="17"/>
  </cols>
  <sheetData>
    <row r="1" customFormat="false" ht="25.5" hidden="false" customHeight="true" outlineLevel="0" collapsed="false">
      <c r="A1" s="10" t="s">
        <v>118</v>
      </c>
      <c r="B1" s="10"/>
      <c r="C1" s="10"/>
      <c r="D1" s="10"/>
      <c r="E1" s="10"/>
      <c r="F1" s="10"/>
      <c r="G1" s="10"/>
      <c r="H1" s="10"/>
      <c r="I1" s="10"/>
    </row>
    <row r="3" customFormat="false" ht="15" hidden="false" customHeight="true" outlineLevel="0" collapsed="false">
      <c r="A3" s="35" t="s">
        <v>119</v>
      </c>
      <c r="B3" s="35"/>
      <c r="C3" s="35"/>
      <c r="D3" s="35"/>
    </row>
    <row r="4" customFormat="false" ht="15" hidden="false" customHeight="true" outlineLevel="0" collapsed="false">
      <c r="A4" s="36" t="s">
        <v>120</v>
      </c>
      <c r="B4" s="36"/>
      <c r="C4" s="37" t="n">
        <v>46224</v>
      </c>
      <c r="D4" s="32" t="n">
        <f aca="false">SUMIF('Tháng 6'!$B$10:$B$335,$C$4,'Tháng 6'!$J$10:$J$335)+SUMIF('Tháng 7'!$B$10:$B$335,$C$4,'Tháng 7'!$J$10:$J$335)+SUMIF('Tháng 8'!$B$10:$B$335,$C$4,'Tháng 8'!$J$10:$J$335)+SUMIF('Tháng 9'!$B$10:$B$335,$C$4,'Tháng 9'!$J$10:$J$335)+SUMIF('Tháng 10'!$B$10:$B$335,$C$4,'Tháng 10'!$J$10:$J$335)+SUMIF('Tháng 11'!$B$10:$B$335,$C$4,'Tháng 11'!$J$10:$J$335)+SUMIF('Tháng 12'!$B$10:$B$335,$C$4,'Tháng 12'!$J$10:$J$335)</f>
        <v>97000000</v>
      </c>
    </row>
    <row r="5" customFormat="false" ht="15" hidden="false" customHeight="false" outlineLevel="0" collapsed="false">
      <c r="A5" s="38" t="s">
        <v>121</v>
      </c>
      <c r="B5" s="38"/>
    </row>
    <row r="7" customFormat="false" ht="15" hidden="false" customHeight="true" outlineLevel="0" collapsed="false">
      <c r="A7" s="35" t="s">
        <v>122</v>
      </c>
      <c r="B7" s="35"/>
      <c r="C7" s="35"/>
      <c r="D7" s="35"/>
      <c r="E7" s="35"/>
      <c r="F7" s="35" t="s">
        <v>123</v>
      </c>
      <c r="G7" s="35"/>
      <c r="H7" s="35"/>
      <c r="I7" s="35"/>
    </row>
    <row r="8" customFormat="false" ht="15" hidden="false" customHeight="false" outlineLevel="0" collapsed="false">
      <c r="A8" s="14" t="s">
        <v>124</v>
      </c>
      <c r="B8" s="14" t="s">
        <v>125</v>
      </c>
      <c r="C8" s="14" t="s">
        <v>126</v>
      </c>
      <c r="D8" s="14" t="s">
        <v>127</v>
      </c>
      <c r="E8" s="14" t="s">
        <v>35</v>
      </c>
      <c r="F8" s="14" t="s">
        <v>124</v>
      </c>
      <c r="G8" s="14" t="s">
        <v>35</v>
      </c>
      <c r="H8" s="14" t="s">
        <v>128</v>
      </c>
      <c r="I8" s="14" t="s">
        <v>129</v>
      </c>
    </row>
    <row r="9" customFormat="false" ht="15" hidden="false" customHeight="false" outlineLevel="0" collapsed="false">
      <c r="A9" s="39" t="s">
        <v>130</v>
      </c>
      <c r="B9" s="39" t="s">
        <v>131</v>
      </c>
      <c r="C9" s="40" t="n">
        <v>46174</v>
      </c>
      <c r="D9" s="40" t="n">
        <v>46180</v>
      </c>
      <c r="E9" s="41" t="n">
        <f aca="false">SUMIFS('Tháng 6'!$J$10:$J$335,'Tháng 6'!$B$10:$B$335,"&gt;="&amp;$C9,'Tháng 6'!$B$10:$B$335,"&lt;="&amp;$D9)</f>
        <v>8500000</v>
      </c>
      <c r="F9" s="42" t="s">
        <v>132</v>
      </c>
      <c r="G9" s="43" t="n">
        <f aca="false">'Tháng 6'!$D$3</f>
        <v>21500000</v>
      </c>
      <c r="H9" s="43" t="n">
        <f aca="false">'Tháng 6'!$D$4</f>
        <v>15500000</v>
      </c>
      <c r="I9" s="43" t="n">
        <f aca="false">'Tháng 6'!$D$5</f>
        <v>6000000</v>
      </c>
    </row>
    <row r="10" customFormat="false" ht="15" hidden="false" customHeight="false" outlineLevel="0" collapsed="false">
      <c r="A10" s="39" t="s">
        <v>130</v>
      </c>
      <c r="B10" s="39" t="s">
        <v>133</v>
      </c>
      <c r="C10" s="40" t="n">
        <v>46181</v>
      </c>
      <c r="D10" s="40" t="n">
        <v>46187</v>
      </c>
      <c r="E10" s="41" t="n">
        <f aca="false">SUMIFS('Tháng 6'!$J$10:$J$335,'Tháng 6'!$B$10:$B$335,"&gt;="&amp;$C10,'Tháng 6'!$B$10:$B$335,"&lt;="&amp;$D10)</f>
        <v>6000000</v>
      </c>
      <c r="F10" s="42" t="s">
        <v>134</v>
      </c>
      <c r="G10" s="43" t="n">
        <f aca="false">'Tháng 7'!$D$3</f>
        <v>97000000</v>
      </c>
      <c r="H10" s="43" t="n">
        <f aca="false">'Tháng 7'!$D$4</f>
        <v>50000000</v>
      </c>
      <c r="I10" s="43" t="n">
        <f aca="false">'Tháng 7'!$D$5</f>
        <v>47000000</v>
      </c>
    </row>
    <row r="11" customFormat="false" ht="15" hidden="false" customHeight="false" outlineLevel="0" collapsed="false">
      <c r="A11" s="39" t="s">
        <v>130</v>
      </c>
      <c r="B11" s="39" t="s">
        <v>135</v>
      </c>
      <c r="C11" s="40" t="n">
        <v>46188</v>
      </c>
      <c r="D11" s="40" t="n">
        <v>46194</v>
      </c>
      <c r="E11" s="41" t="n">
        <f aca="false">SUMIFS('Tháng 6'!$J$10:$J$335,'Tháng 6'!$B$10:$B$335,"&gt;="&amp;$C11,'Tháng 6'!$B$10:$B$335,"&lt;="&amp;$D11)</f>
        <v>7000000</v>
      </c>
      <c r="F11" s="42" t="s">
        <v>136</v>
      </c>
      <c r="G11" s="43" t="n">
        <f aca="false">'Tháng 8'!$D$3</f>
        <v>0</v>
      </c>
      <c r="H11" s="43" t="n">
        <f aca="false">'Tháng 8'!$D$4</f>
        <v>0</v>
      </c>
      <c r="I11" s="43" t="n">
        <f aca="false">'Tháng 8'!$D$5</f>
        <v>0</v>
      </c>
    </row>
    <row r="12" customFormat="false" ht="15" hidden="false" customHeight="false" outlineLevel="0" collapsed="false">
      <c r="A12" s="39" t="s">
        <v>130</v>
      </c>
      <c r="B12" s="39" t="s">
        <v>137</v>
      </c>
      <c r="C12" s="40" t="n">
        <v>46195</v>
      </c>
      <c r="D12" s="40" t="n">
        <v>46203</v>
      </c>
      <c r="E12" s="41" t="n">
        <f aca="false">SUMIFS('Tháng 6'!$J$10:$J$335,'Tháng 6'!$B$10:$B$335,"&gt;="&amp;$C12,'Tháng 6'!$B$10:$B$335,"&lt;="&amp;$D12)</f>
        <v>0</v>
      </c>
      <c r="F12" s="42" t="s">
        <v>138</v>
      </c>
      <c r="G12" s="43" t="n">
        <f aca="false">'Tháng 9'!$D$3</f>
        <v>0</v>
      </c>
      <c r="H12" s="43" t="n">
        <f aca="false">'Tháng 9'!$D$4</f>
        <v>0</v>
      </c>
      <c r="I12" s="43" t="n">
        <f aca="false">'Tháng 9'!$D$5</f>
        <v>0</v>
      </c>
    </row>
    <row r="13" customFormat="false" ht="15" hidden="false" customHeight="false" outlineLevel="0" collapsed="false">
      <c r="A13" s="42" t="s">
        <v>139</v>
      </c>
      <c r="B13" s="42" t="s">
        <v>131</v>
      </c>
      <c r="C13" s="17" t="n">
        <v>46204</v>
      </c>
      <c r="D13" s="17" t="n">
        <v>46210</v>
      </c>
      <c r="E13" s="18" t="n">
        <f aca="false">SUMIFS('Tháng 7'!$J$10:$J$335,'Tháng 7'!$B$10:$B$335,"&gt;="&amp;$C13,'Tháng 7'!$B$10:$B$335,"&lt;="&amp;$D13)</f>
        <v>0</v>
      </c>
      <c r="F13" s="42" t="s">
        <v>140</v>
      </c>
      <c r="G13" s="43" t="n">
        <f aca="false">'Tháng 10'!$D$3</f>
        <v>0</v>
      </c>
      <c r="H13" s="43" t="n">
        <f aca="false">'Tháng 10'!$D$4</f>
        <v>0</v>
      </c>
      <c r="I13" s="43" t="n">
        <f aca="false">'Tháng 10'!$D$5</f>
        <v>0</v>
      </c>
    </row>
    <row r="14" customFormat="false" ht="15" hidden="false" customHeight="false" outlineLevel="0" collapsed="false">
      <c r="A14" s="42" t="s">
        <v>139</v>
      </c>
      <c r="B14" s="42" t="s">
        <v>133</v>
      </c>
      <c r="C14" s="17" t="n">
        <v>46211</v>
      </c>
      <c r="D14" s="17" t="n">
        <v>46217</v>
      </c>
      <c r="E14" s="18" t="n">
        <f aca="false">SUMIFS('Tháng 7'!$J$10:$J$335,'Tháng 7'!$B$10:$B$335,"&gt;="&amp;$C14,'Tháng 7'!$B$10:$B$335,"&lt;="&amp;$D14)</f>
        <v>0</v>
      </c>
      <c r="F14" s="42" t="s">
        <v>141</v>
      </c>
      <c r="G14" s="43" t="n">
        <f aca="false">'Tháng 11'!$D$3</f>
        <v>0</v>
      </c>
      <c r="H14" s="43" t="n">
        <f aca="false">'Tháng 11'!$D$4</f>
        <v>0</v>
      </c>
      <c r="I14" s="43" t="n">
        <f aca="false">'Tháng 11'!$D$5</f>
        <v>0</v>
      </c>
    </row>
    <row r="15" customFormat="false" ht="15" hidden="false" customHeight="false" outlineLevel="0" collapsed="false">
      <c r="A15" s="42" t="s">
        <v>139</v>
      </c>
      <c r="B15" s="42" t="s">
        <v>135</v>
      </c>
      <c r="C15" s="17" t="n">
        <v>46218</v>
      </c>
      <c r="D15" s="17" t="n">
        <v>46224</v>
      </c>
      <c r="E15" s="18" t="n">
        <f aca="false">SUMIFS('Tháng 7'!$J$10:$J$335,'Tháng 7'!$B$10:$B$335,"&gt;="&amp;$C15,'Tháng 7'!$B$10:$B$335,"&lt;="&amp;$D15)</f>
        <v>97000000</v>
      </c>
      <c r="F15" s="42" t="s">
        <v>142</v>
      </c>
      <c r="G15" s="43" t="n">
        <f aca="false">'Tháng 12'!$D$3</f>
        <v>0</v>
      </c>
      <c r="H15" s="43" t="n">
        <f aca="false">'Tháng 12'!$D$4</f>
        <v>0</v>
      </c>
      <c r="I15" s="43" t="n">
        <f aca="false">'Tháng 12'!$D$5</f>
        <v>0</v>
      </c>
    </row>
    <row r="16" customFormat="false" ht="15" hidden="false" customHeight="false" outlineLevel="0" collapsed="false">
      <c r="A16" s="42" t="s">
        <v>139</v>
      </c>
      <c r="B16" s="42" t="s">
        <v>137</v>
      </c>
      <c r="C16" s="17" t="n">
        <v>46225</v>
      </c>
      <c r="D16" s="17" t="n">
        <v>46234</v>
      </c>
      <c r="E16" s="18" t="n">
        <f aca="false">SUMIFS('Tháng 7'!$J$10:$J$335,'Tháng 7'!$B$10:$B$335,"&gt;="&amp;$C16,'Tháng 7'!$B$10:$B$335,"&lt;="&amp;$D16)</f>
        <v>0</v>
      </c>
    </row>
    <row r="17" customFormat="false" ht="15" hidden="false" customHeight="true" outlineLevel="0" collapsed="false">
      <c r="A17" s="39" t="s">
        <v>143</v>
      </c>
      <c r="B17" s="39" t="s">
        <v>131</v>
      </c>
      <c r="C17" s="40" t="n">
        <v>46235</v>
      </c>
      <c r="D17" s="40" t="n">
        <v>46241</v>
      </c>
      <c r="E17" s="41" t="n">
        <f aca="false">SUMIFS('Tháng 8'!$J$10:$J$335,'Tháng 8'!$B$10:$B$335,"&gt;="&amp;$C17,'Tháng 8'!$B$10:$B$335,"&lt;="&amp;$D17)</f>
        <v>0</v>
      </c>
      <c r="F17" s="35" t="s">
        <v>144</v>
      </c>
      <c r="G17" s="35"/>
      <c r="H17" s="35"/>
      <c r="I17" s="35"/>
    </row>
    <row r="18" customFormat="false" ht="15" hidden="false" customHeight="false" outlineLevel="0" collapsed="false">
      <c r="A18" s="39" t="s">
        <v>143</v>
      </c>
      <c r="B18" s="39" t="s">
        <v>133</v>
      </c>
      <c r="C18" s="40" t="n">
        <v>46242</v>
      </c>
      <c r="D18" s="40" t="n">
        <v>46248</v>
      </c>
      <c r="E18" s="41" t="n">
        <f aca="false">SUMIFS('Tháng 8'!$J$10:$J$335,'Tháng 8'!$B$10:$B$335,"&gt;="&amp;$C18,'Tháng 8'!$B$10:$B$335,"&lt;="&amp;$D18)</f>
        <v>0</v>
      </c>
      <c r="F18" s="31" t="s">
        <v>145</v>
      </c>
      <c r="G18" s="32" t="n">
        <f aca="false">SUM($G$9:$G$9)</f>
        <v>21500000</v>
      </c>
      <c r="H18" s="32" t="n">
        <f aca="false">SUM($H$9:$H$9)</f>
        <v>15500000</v>
      </c>
      <c r="I18" s="32" t="n">
        <f aca="false">SUM($I$9:$I$9)</f>
        <v>6000000</v>
      </c>
    </row>
    <row r="19" customFormat="false" ht="15" hidden="false" customHeight="false" outlineLevel="0" collapsed="false">
      <c r="A19" s="39" t="s">
        <v>143</v>
      </c>
      <c r="B19" s="39" t="s">
        <v>135</v>
      </c>
      <c r="C19" s="40" t="n">
        <v>46249</v>
      </c>
      <c r="D19" s="40" t="n">
        <v>46255</v>
      </c>
      <c r="E19" s="41" t="n">
        <f aca="false">SUMIFS('Tháng 8'!$J$10:$J$335,'Tháng 8'!$B$10:$B$335,"&gt;="&amp;$C19,'Tháng 8'!$B$10:$B$335,"&lt;="&amp;$D19)</f>
        <v>0</v>
      </c>
      <c r="F19" s="31" t="s">
        <v>146</v>
      </c>
      <c r="G19" s="32" t="n">
        <f aca="false">SUM($G$10:$G$12)</f>
        <v>97000000</v>
      </c>
      <c r="H19" s="32" t="n">
        <f aca="false">SUM($H$10:$H$12)</f>
        <v>50000000</v>
      </c>
      <c r="I19" s="32" t="n">
        <f aca="false">SUM($I$10:$I$12)</f>
        <v>47000000</v>
      </c>
    </row>
    <row r="20" customFormat="false" ht="15" hidden="false" customHeight="false" outlineLevel="0" collapsed="false">
      <c r="A20" s="39" t="s">
        <v>143</v>
      </c>
      <c r="B20" s="39" t="s">
        <v>137</v>
      </c>
      <c r="C20" s="40" t="n">
        <v>46256</v>
      </c>
      <c r="D20" s="40" t="n">
        <v>46265</v>
      </c>
      <c r="E20" s="41" t="n">
        <f aca="false">SUMIFS('Tháng 8'!$J$10:$J$335,'Tháng 8'!$B$10:$B$335,"&gt;="&amp;$C20,'Tháng 8'!$B$10:$B$335,"&lt;="&amp;$D20)</f>
        <v>0</v>
      </c>
      <c r="F20" s="31" t="s">
        <v>147</v>
      </c>
      <c r="G20" s="32" t="n">
        <f aca="false">SUM($G$13:$G$15)</f>
        <v>0</v>
      </c>
      <c r="H20" s="32" t="n">
        <f aca="false">SUM($H$13:$H$15)</f>
        <v>0</v>
      </c>
      <c r="I20" s="32" t="n">
        <f aca="false">SUM($I$13:$I$15)</f>
        <v>0</v>
      </c>
    </row>
    <row r="21" customFormat="false" ht="15" hidden="false" customHeight="false" outlineLevel="0" collapsed="false">
      <c r="A21" s="42" t="s">
        <v>148</v>
      </c>
      <c r="B21" s="42" t="s">
        <v>131</v>
      </c>
      <c r="C21" s="17" t="n">
        <v>46266</v>
      </c>
      <c r="D21" s="17" t="n">
        <v>46272</v>
      </c>
      <c r="E21" s="18" t="n">
        <f aca="false">SUMIFS('Tháng 9'!$J$10:$J$335,'Tháng 9'!$B$10:$B$335,"&gt;="&amp;$C21,'Tháng 9'!$B$10:$B$335,"&lt;="&amp;$D21)</f>
        <v>0</v>
      </c>
    </row>
    <row r="22" customFormat="false" ht="15" hidden="false" customHeight="true" outlineLevel="0" collapsed="false">
      <c r="A22" s="42" t="s">
        <v>148</v>
      </c>
      <c r="B22" s="42" t="s">
        <v>133</v>
      </c>
      <c r="C22" s="17" t="n">
        <v>46273</v>
      </c>
      <c r="D22" s="17" t="n">
        <v>46279</v>
      </c>
      <c r="E22" s="18" t="n">
        <f aca="false">SUMIFS('Tháng 9'!$J$10:$J$335,'Tháng 9'!$B$10:$B$335,"&gt;="&amp;$C22,'Tháng 9'!$B$10:$B$335,"&lt;="&amp;$D22)</f>
        <v>0</v>
      </c>
      <c r="F22" s="35" t="s">
        <v>149</v>
      </c>
      <c r="G22" s="35"/>
      <c r="H22" s="35"/>
      <c r="I22" s="35"/>
    </row>
    <row r="23" customFormat="false" ht="15" hidden="false" customHeight="false" outlineLevel="0" collapsed="false">
      <c r="A23" s="42" t="s">
        <v>148</v>
      </c>
      <c r="B23" s="42" t="s">
        <v>135</v>
      </c>
      <c r="C23" s="17" t="n">
        <v>46280</v>
      </c>
      <c r="D23" s="17" t="n">
        <v>46286</v>
      </c>
      <c r="E23" s="18" t="n">
        <f aca="false">SUMIFS('Tháng 9'!$J$10:$J$335,'Tháng 9'!$B$10:$B$335,"&gt;="&amp;$C23,'Tháng 9'!$B$10:$B$335,"&lt;="&amp;$D23)</f>
        <v>0</v>
      </c>
      <c r="F23" s="44" t="s">
        <v>150</v>
      </c>
      <c r="G23" s="45" t="n">
        <f aca="false">SUM($G$18:$G$20)</f>
        <v>118500000</v>
      </c>
      <c r="H23" s="45" t="n">
        <f aca="false">SUM($H$18:$H$20)</f>
        <v>65500000</v>
      </c>
      <c r="I23" s="45" t="n">
        <f aca="false">SUM($I$18:$I$20)</f>
        <v>53000000</v>
      </c>
    </row>
    <row r="24" customFormat="false" ht="15" hidden="false" customHeight="false" outlineLevel="0" collapsed="false">
      <c r="A24" s="42" t="s">
        <v>148</v>
      </c>
      <c r="B24" s="42" t="s">
        <v>137</v>
      </c>
      <c r="C24" s="17" t="n">
        <v>46287</v>
      </c>
      <c r="D24" s="17" t="n">
        <v>46295</v>
      </c>
      <c r="E24" s="18" t="n">
        <f aca="false">SUMIFS('Tháng 9'!$J$10:$J$335,'Tháng 9'!$B$10:$B$335,"&gt;="&amp;$C24,'Tháng 9'!$B$10:$B$335,"&lt;="&amp;$D24)</f>
        <v>0</v>
      </c>
    </row>
    <row r="25" customFormat="false" ht="15" hidden="false" customHeight="false" outlineLevel="0" collapsed="false">
      <c r="A25" s="39" t="s">
        <v>151</v>
      </c>
      <c r="B25" s="39" t="s">
        <v>131</v>
      </c>
      <c r="C25" s="40" t="n">
        <v>46296</v>
      </c>
      <c r="D25" s="40" t="n">
        <v>46302</v>
      </c>
      <c r="E25" s="41" t="n">
        <f aca="false">SUMIFS('Tháng 10'!$J$10:$J$335,'Tháng 10'!$B$10:$B$335,"&gt;="&amp;$C25,'Tháng 10'!$B$10:$B$335,"&lt;="&amp;$D25)</f>
        <v>0</v>
      </c>
      <c r="F25" s="46" t="s">
        <v>152</v>
      </c>
    </row>
    <row r="26" customFormat="false" ht="15" hidden="false" customHeight="false" outlineLevel="0" collapsed="false">
      <c r="A26" s="39" t="s">
        <v>151</v>
      </c>
      <c r="B26" s="39" t="s">
        <v>133</v>
      </c>
      <c r="C26" s="40" t="n">
        <v>46303</v>
      </c>
      <c r="D26" s="40" t="n">
        <v>46309</v>
      </c>
      <c r="E26" s="41" t="n">
        <f aca="false">SUMIFS('Tháng 10'!$J$10:$J$335,'Tháng 10'!$B$10:$B$335,"&gt;="&amp;$C26,'Tháng 10'!$B$10:$B$335,"&lt;="&amp;$D26)</f>
        <v>0</v>
      </c>
    </row>
    <row r="27" customFormat="false" ht="15" hidden="false" customHeight="false" outlineLevel="0" collapsed="false">
      <c r="A27" s="39" t="s">
        <v>151</v>
      </c>
      <c r="B27" s="39" t="s">
        <v>135</v>
      </c>
      <c r="C27" s="40" t="n">
        <v>46310</v>
      </c>
      <c r="D27" s="40" t="n">
        <v>46316</v>
      </c>
      <c r="E27" s="41" t="n">
        <f aca="false">SUMIFS('Tháng 10'!$J$10:$J$335,'Tháng 10'!$B$10:$B$335,"&gt;="&amp;$C27,'Tháng 10'!$B$10:$B$335,"&lt;="&amp;$D27)</f>
        <v>0</v>
      </c>
    </row>
    <row r="28" customFormat="false" ht="15" hidden="false" customHeight="false" outlineLevel="0" collapsed="false">
      <c r="A28" s="39" t="s">
        <v>151</v>
      </c>
      <c r="B28" s="39" t="s">
        <v>137</v>
      </c>
      <c r="C28" s="40" t="n">
        <v>46317</v>
      </c>
      <c r="D28" s="40" t="n">
        <v>46326</v>
      </c>
      <c r="E28" s="41" t="n">
        <f aca="false">SUMIFS('Tháng 10'!$J$10:$J$335,'Tháng 10'!$B$10:$B$335,"&gt;="&amp;$C28,'Tháng 10'!$B$10:$B$335,"&lt;="&amp;$D28)</f>
        <v>0</v>
      </c>
    </row>
    <row r="29" customFormat="false" ht="15" hidden="false" customHeight="false" outlineLevel="0" collapsed="false">
      <c r="A29" s="42" t="s">
        <v>153</v>
      </c>
      <c r="B29" s="42" t="s">
        <v>131</v>
      </c>
      <c r="C29" s="17" t="n">
        <v>46327</v>
      </c>
      <c r="D29" s="17" t="n">
        <v>46333</v>
      </c>
      <c r="E29" s="18" t="n">
        <f aca="false">SUMIFS('Tháng 11'!$J$10:$J$335,'Tháng 11'!$B$10:$B$335,"&gt;="&amp;$C29,'Tháng 11'!$B$10:$B$335,"&lt;="&amp;$D29)</f>
        <v>0</v>
      </c>
    </row>
    <row r="30" customFormat="false" ht="15" hidden="false" customHeight="false" outlineLevel="0" collapsed="false">
      <c r="A30" s="42" t="s">
        <v>153</v>
      </c>
      <c r="B30" s="42" t="s">
        <v>133</v>
      </c>
      <c r="C30" s="17" t="n">
        <v>46334</v>
      </c>
      <c r="D30" s="17" t="n">
        <v>46340</v>
      </c>
      <c r="E30" s="18" t="n">
        <f aca="false">SUMIFS('Tháng 11'!$J$10:$J$335,'Tháng 11'!$B$10:$B$335,"&gt;="&amp;$C30,'Tháng 11'!$B$10:$B$335,"&lt;="&amp;$D30)</f>
        <v>0</v>
      </c>
    </row>
    <row r="31" customFormat="false" ht="15" hidden="false" customHeight="false" outlineLevel="0" collapsed="false">
      <c r="A31" s="42" t="s">
        <v>153</v>
      </c>
      <c r="B31" s="42" t="s">
        <v>135</v>
      </c>
      <c r="C31" s="17" t="n">
        <v>46341</v>
      </c>
      <c r="D31" s="17" t="n">
        <v>46347</v>
      </c>
      <c r="E31" s="18" t="n">
        <f aca="false">SUMIFS('Tháng 11'!$J$10:$J$335,'Tháng 11'!$B$10:$B$335,"&gt;="&amp;$C31,'Tháng 11'!$B$10:$B$335,"&lt;="&amp;$D31)</f>
        <v>0</v>
      </c>
    </row>
    <row r="32" customFormat="false" ht="15" hidden="false" customHeight="false" outlineLevel="0" collapsed="false">
      <c r="A32" s="42" t="s">
        <v>153</v>
      </c>
      <c r="B32" s="42" t="s">
        <v>137</v>
      </c>
      <c r="C32" s="17" t="n">
        <v>46348</v>
      </c>
      <c r="D32" s="17" t="n">
        <v>46356</v>
      </c>
      <c r="E32" s="18" t="n">
        <f aca="false">SUMIFS('Tháng 11'!$J$10:$J$335,'Tháng 11'!$B$10:$B$335,"&gt;="&amp;$C32,'Tháng 11'!$B$10:$B$335,"&lt;="&amp;$D32)</f>
        <v>0</v>
      </c>
    </row>
    <row r="33" customFormat="false" ht="15" hidden="false" customHeight="false" outlineLevel="0" collapsed="false">
      <c r="A33" s="39" t="s">
        <v>154</v>
      </c>
      <c r="B33" s="39" t="s">
        <v>131</v>
      </c>
      <c r="C33" s="40" t="n">
        <v>46357</v>
      </c>
      <c r="D33" s="40" t="n">
        <v>46363</v>
      </c>
      <c r="E33" s="41" t="n">
        <f aca="false">SUMIFS('Tháng 12'!$J$10:$J$335,'Tháng 12'!$B$10:$B$335,"&gt;="&amp;$C33,'Tháng 12'!$B$10:$B$335,"&lt;="&amp;$D33)</f>
        <v>0</v>
      </c>
    </row>
    <row r="34" customFormat="false" ht="15" hidden="false" customHeight="false" outlineLevel="0" collapsed="false">
      <c r="A34" s="39" t="s">
        <v>154</v>
      </c>
      <c r="B34" s="39" t="s">
        <v>133</v>
      </c>
      <c r="C34" s="40" t="n">
        <v>46364</v>
      </c>
      <c r="D34" s="40" t="n">
        <v>46370</v>
      </c>
      <c r="E34" s="41" t="n">
        <f aca="false">SUMIFS('Tháng 12'!$J$10:$J$335,'Tháng 12'!$B$10:$B$335,"&gt;="&amp;$C34,'Tháng 12'!$B$10:$B$335,"&lt;="&amp;$D34)</f>
        <v>0</v>
      </c>
    </row>
    <row r="35" customFormat="false" ht="15" hidden="false" customHeight="false" outlineLevel="0" collapsed="false">
      <c r="A35" s="39" t="s">
        <v>154</v>
      </c>
      <c r="B35" s="39" t="s">
        <v>135</v>
      </c>
      <c r="C35" s="40" t="n">
        <v>46371</v>
      </c>
      <c r="D35" s="40" t="n">
        <v>46377</v>
      </c>
      <c r="E35" s="41" t="n">
        <f aca="false">SUMIFS('Tháng 12'!$J$10:$J$335,'Tháng 12'!$B$10:$B$335,"&gt;="&amp;$C35,'Tháng 12'!$B$10:$B$335,"&lt;="&amp;$D35)</f>
        <v>0</v>
      </c>
    </row>
    <row r="36" customFormat="false" ht="15" hidden="false" customHeight="false" outlineLevel="0" collapsed="false">
      <c r="A36" s="39" t="s">
        <v>154</v>
      </c>
      <c r="B36" s="39" t="s">
        <v>137</v>
      </c>
      <c r="C36" s="40" t="n">
        <v>46378</v>
      </c>
      <c r="D36" s="40" t="n">
        <v>46387</v>
      </c>
      <c r="E36" s="41" t="n">
        <f aca="false">SUMIFS('Tháng 12'!$J$10:$J$335,'Tháng 12'!$B$10:$B$335,"&gt;="&amp;$C36,'Tháng 12'!$B$10:$B$335,"&lt;="&amp;$D36)</f>
        <v>0</v>
      </c>
    </row>
  </sheetData>
  <mergeCells count="8">
    <mergeCell ref="A1:I1"/>
    <mergeCell ref="A3:D3"/>
    <mergeCell ref="A4:B4"/>
    <mergeCell ref="A5:B5"/>
    <mergeCell ref="A7:E7"/>
    <mergeCell ref="F7:I7"/>
    <mergeCell ref="F17:I17"/>
    <mergeCell ref="F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2026-07-21T04:56:52Z</dcterms:created>
  <dc:creator>openpyxl</dc:creator>
  <dc:description/>
  <dc:language>en-US</dc:language>
  <cp:lastModifiedBy/>
  <dcterms:modified xsi:type="dcterms:W3CDTF">2026-07-21T04:56:53Z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